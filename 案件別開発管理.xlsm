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personal\koeiei\案件別開発管理マクロ対応\"/>
    </mc:Choice>
  </mc:AlternateContent>
  <bookViews>
    <workbookView minimized="1" xWindow="0" yWindow="0" windowWidth="20490" windowHeight="7530" activeTab="2"/>
  </bookViews>
  <sheets>
    <sheet name="開発費用集計" sheetId="4" r:id="rId1"/>
    <sheet name="月別費用" sheetId="7" state="hidden" r:id="rId2"/>
    <sheet name="技術者" sheetId="2" r:id="rId3"/>
    <sheet name="案件数" sheetId="6" state="hidden" r:id="rId4"/>
  </sheets>
  <functionGroups builtInGroupCount="18"/>
  <definedNames>
    <definedName name="_xlnm._FilterDatabase" localSheetId="0" hidden="1">開発費用集計!$F$2:$F$11808</definedName>
    <definedName name="_xlnm._FilterDatabase" localSheetId="2" hidden="1">技術者!$A$1:$D$19</definedName>
    <definedName name="_xlnm._FilterDatabase" localSheetId="1" hidden="1">月別費用!$B$3:$R$198</definedName>
    <definedName name="_xlnm.Print_Area" localSheetId="0">開発費用集計!$A$1:$F$8186</definedName>
    <definedName name="_xlnm.Print_Titles" localSheetId="0">開発費用集計!$1:$6</definedName>
  </definedNames>
  <calcPr calcId="162913"/>
</workbook>
</file>

<file path=xl/calcChain.xml><?xml version="1.0" encoding="utf-8"?>
<calcChain xmlns="http://schemas.openxmlformats.org/spreadsheetml/2006/main">
  <c r="B20" i="2" l="1"/>
  <c r="R227" i="7" l="1"/>
  <c r="Q227" i="7"/>
  <c r="P227" i="7"/>
  <c r="O227" i="7"/>
  <c r="N227" i="7"/>
  <c r="M227" i="7"/>
  <c r="L227" i="7"/>
  <c r="K227" i="7"/>
  <c r="J227" i="7"/>
  <c r="I227" i="7"/>
  <c r="H227" i="7"/>
  <c r="G227" i="7"/>
  <c r="F227" i="7"/>
  <c r="Q226" i="7"/>
  <c r="P226" i="7"/>
  <c r="O226" i="7"/>
  <c r="N226" i="7"/>
  <c r="M226" i="7"/>
  <c r="L226" i="7"/>
  <c r="K226" i="7"/>
  <c r="J226" i="7"/>
  <c r="I226" i="7"/>
  <c r="H226" i="7"/>
  <c r="G226" i="7"/>
  <c r="R225" i="7"/>
  <c r="F224" i="7"/>
  <c r="R224" i="7" s="1"/>
  <c r="F223" i="7"/>
  <c r="R223" i="7" s="1"/>
  <c r="F222" i="7"/>
  <c r="R222" i="7" s="1"/>
  <c r="F221" i="7"/>
  <c r="R221" i="7" s="1"/>
  <c r="F220" i="7"/>
  <c r="R220" i="7" s="1"/>
  <c r="F219" i="7"/>
  <c r="R219" i="7" s="1"/>
  <c r="F218" i="7"/>
  <c r="R218" i="7" s="1"/>
  <c r="F217" i="7"/>
  <c r="R217" i="7" s="1"/>
  <c r="F216" i="7"/>
  <c r="R216" i="7" s="1"/>
  <c r="F215" i="7"/>
  <c r="R215" i="7" s="1"/>
  <c r="F214" i="7"/>
  <c r="R214" i="7" s="1"/>
  <c r="F213" i="7"/>
  <c r="R213" i="7" s="1"/>
  <c r="F212" i="7"/>
  <c r="R212" i="7" s="1"/>
  <c r="F211" i="7"/>
  <c r="R211" i="7" s="1"/>
  <c r="F210" i="7"/>
  <c r="R210" i="7" s="1"/>
  <c r="F209" i="7"/>
  <c r="R209" i="7" s="1"/>
  <c r="F208" i="7"/>
  <c r="R208" i="7" s="1"/>
  <c r="F207" i="7"/>
  <c r="R207" i="7" s="1"/>
  <c r="F206" i="7"/>
  <c r="R206" i="7" s="1"/>
  <c r="F205" i="7"/>
  <c r="R205" i="7" s="1"/>
  <c r="F204" i="7"/>
  <c r="R204" i="7" s="1"/>
  <c r="F203" i="7"/>
  <c r="R203" i="7" s="1"/>
  <c r="F202" i="7"/>
  <c r="R202" i="7" s="1"/>
  <c r="F201" i="7"/>
  <c r="R201" i="7" s="1"/>
  <c r="F200" i="7"/>
  <c r="R200" i="7" s="1"/>
  <c r="F199" i="7"/>
  <c r="R199" i="7" s="1"/>
  <c r="F198" i="7"/>
  <c r="R198" i="7" s="1"/>
  <c r="F197" i="7"/>
  <c r="R197" i="7" s="1"/>
  <c r="F196" i="7"/>
  <c r="R196" i="7" s="1"/>
  <c r="F195" i="7"/>
  <c r="R195" i="7" s="1"/>
  <c r="F194" i="7"/>
  <c r="R194" i="7" s="1"/>
  <c r="F193" i="7"/>
  <c r="R193" i="7" s="1"/>
  <c r="F192" i="7"/>
  <c r="R192" i="7" s="1"/>
  <c r="F191" i="7"/>
  <c r="R191" i="7" s="1"/>
  <c r="F190" i="7"/>
  <c r="R190" i="7" s="1"/>
  <c r="F189" i="7"/>
  <c r="R189" i="7" s="1"/>
  <c r="F188" i="7"/>
  <c r="R188" i="7" s="1"/>
  <c r="F187" i="7"/>
  <c r="R187" i="7" s="1"/>
  <c r="F186" i="7"/>
  <c r="R186" i="7" s="1"/>
  <c r="F185" i="7"/>
  <c r="R185" i="7" s="1"/>
  <c r="F184" i="7"/>
  <c r="R184" i="7" s="1"/>
  <c r="F183" i="7"/>
  <c r="R183" i="7" s="1"/>
  <c r="F182" i="7"/>
  <c r="R182" i="7" s="1"/>
  <c r="F181" i="7"/>
  <c r="R181" i="7" s="1"/>
  <c r="F180" i="7"/>
  <c r="R180" i="7" s="1"/>
  <c r="F179" i="7"/>
  <c r="R179" i="7" s="1"/>
  <c r="F178" i="7"/>
  <c r="R178" i="7" s="1"/>
  <c r="F177" i="7"/>
  <c r="R177" i="7" s="1"/>
  <c r="F176" i="7"/>
  <c r="R176" i="7" s="1"/>
  <c r="F175" i="7"/>
  <c r="R175" i="7" s="1"/>
  <c r="F174" i="7"/>
  <c r="R174" i="7" s="1"/>
  <c r="F173" i="7"/>
  <c r="R173" i="7" s="1"/>
  <c r="F172" i="7"/>
  <c r="R172" i="7" s="1"/>
  <c r="F171" i="7"/>
  <c r="R171" i="7" s="1"/>
  <c r="F170" i="7"/>
  <c r="R170" i="7" s="1"/>
  <c r="F169" i="7"/>
  <c r="R169" i="7" s="1"/>
  <c r="F168" i="7"/>
  <c r="R168" i="7" s="1"/>
  <c r="F167" i="7"/>
  <c r="R167" i="7" s="1"/>
  <c r="F166" i="7"/>
  <c r="R166" i="7" s="1"/>
  <c r="F165" i="7"/>
  <c r="R165" i="7" s="1"/>
  <c r="F164" i="7"/>
  <c r="R164" i="7" s="1"/>
  <c r="F163" i="7"/>
  <c r="R163" i="7" s="1"/>
  <c r="F162" i="7"/>
  <c r="R162" i="7" s="1"/>
  <c r="F161" i="7"/>
  <c r="R161" i="7" s="1"/>
  <c r="F160" i="7"/>
  <c r="R160" i="7" s="1"/>
  <c r="F159" i="7"/>
  <c r="R159" i="7" s="1"/>
  <c r="F158" i="7"/>
  <c r="R158" i="7" s="1"/>
  <c r="F157" i="7"/>
  <c r="R157" i="7" s="1"/>
  <c r="F156" i="7"/>
  <c r="R156" i="7" s="1"/>
  <c r="F155" i="7"/>
  <c r="R155" i="7" s="1"/>
  <c r="F154" i="7"/>
  <c r="R154" i="7" s="1"/>
  <c r="F153" i="7"/>
  <c r="R153" i="7" s="1"/>
  <c r="F152" i="7"/>
  <c r="R152" i="7" s="1"/>
  <c r="F151" i="7"/>
  <c r="R151" i="7" s="1"/>
  <c r="F150" i="7"/>
  <c r="R150" i="7" s="1"/>
  <c r="F149" i="7"/>
  <c r="R149" i="7" s="1"/>
  <c r="F148" i="7"/>
  <c r="R148" i="7" s="1"/>
  <c r="F147" i="7"/>
  <c r="R147" i="7" s="1"/>
  <c r="F146" i="7"/>
  <c r="R146" i="7" s="1"/>
  <c r="F145" i="7"/>
  <c r="R145" i="7" s="1"/>
  <c r="F144" i="7"/>
  <c r="R144" i="7" s="1"/>
  <c r="F143" i="7"/>
  <c r="R143" i="7" s="1"/>
  <c r="F142" i="7"/>
  <c r="R142" i="7" s="1"/>
  <c r="F141" i="7"/>
  <c r="R141" i="7" s="1"/>
  <c r="F140" i="7"/>
  <c r="R140" i="7" s="1"/>
  <c r="F139" i="7"/>
  <c r="R139" i="7" s="1"/>
  <c r="F138" i="7"/>
  <c r="R138" i="7" s="1"/>
  <c r="F137" i="7"/>
  <c r="R137" i="7" s="1"/>
  <c r="F136" i="7"/>
  <c r="R136" i="7" s="1"/>
  <c r="F135" i="7"/>
  <c r="R135" i="7" s="1"/>
  <c r="F134" i="7"/>
  <c r="R134" i="7" s="1"/>
  <c r="F133" i="7"/>
  <c r="R133" i="7" s="1"/>
  <c r="F132" i="7"/>
  <c r="R132" i="7" s="1"/>
  <c r="F131" i="7"/>
  <c r="R131" i="7" s="1"/>
  <c r="F130" i="7"/>
  <c r="R130" i="7" s="1"/>
  <c r="F129" i="7"/>
  <c r="R129" i="7" s="1"/>
  <c r="F128" i="7"/>
  <c r="R128" i="7" s="1"/>
  <c r="F127" i="7"/>
  <c r="R127" i="7" s="1"/>
  <c r="F126" i="7"/>
  <c r="R126" i="7" s="1"/>
  <c r="F125" i="7"/>
  <c r="R125" i="7" s="1"/>
  <c r="F124" i="7"/>
  <c r="R124" i="7" s="1"/>
  <c r="F123" i="7"/>
  <c r="R123" i="7" s="1"/>
  <c r="F122" i="7"/>
  <c r="R122" i="7" s="1"/>
  <c r="F121" i="7"/>
  <c r="R121" i="7" s="1"/>
  <c r="F120" i="7"/>
  <c r="R120" i="7" s="1"/>
  <c r="F119" i="7"/>
  <c r="R119" i="7" s="1"/>
  <c r="F118" i="7"/>
  <c r="R118" i="7" s="1"/>
  <c r="F117" i="7"/>
  <c r="R117" i="7" s="1"/>
  <c r="F116" i="7"/>
  <c r="R116" i="7" s="1"/>
  <c r="F115" i="7"/>
  <c r="R115" i="7" s="1"/>
  <c r="F114" i="7"/>
  <c r="R114" i="7" s="1"/>
  <c r="F113" i="7"/>
  <c r="R113" i="7" s="1"/>
  <c r="F112" i="7"/>
  <c r="R112" i="7" s="1"/>
  <c r="F111" i="7"/>
  <c r="R111" i="7" s="1"/>
  <c r="F110" i="7"/>
  <c r="R110" i="7" s="1"/>
  <c r="F109" i="7"/>
  <c r="R109" i="7" s="1"/>
  <c r="F108" i="7"/>
  <c r="R108" i="7" s="1"/>
  <c r="F107" i="7"/>
  <c r="R107" i="7" s="1"/>
  <c r="F106" i="7"/>
  <c r="R106" i="7" s="1"/>
  <c r="F105" i="7"/>
  <c r="R105" i="7" s="1"/>
  <c r="F104" i="7"/>
  <c r="R104" i="7" s="1"/>
  <c r="F103" i="7"/>
  <c r="R103" i="7" s="1"/>
  <c r="F102" i="7"/>
  <c r="R102" i="7" s="1"/>
  <c r="F101" i="7"/>
  <c r="R101" i="7" s="1"/>
  <c r="F100" i="7"/>
  <c r="R100" i="7" s="1"/>
  <c r="F99" i="7"/>
  <c r="R99" i="7" s="1"/>
  <c r="F98" i="7"/>
  <c r="R98" i="7" s="1"/>
  <c r="F97" i="7"/>
  <c r="R97" i="7" s="1"/>
  <c r="F96" i="7"/>
  <c r="R96" i="7" s="1"/>
  <c r="F95" i="7"/>
  <c r="R95" i="7" s="1"/>
  <c r="F94" i="7"/>
  <c r="R94" i="7" s="1"/>
  <c r="F93" i="7"/>
  <c r="R93" i="7" s="1"/>
  <c r="F92" i="7"/>
  <c r="R92" i="7" s="1"/>
  <c r="F91" i="7"/>
  <c r="R91" i="7" s="1"/>
  <c r="F90" i="7"/>
  <c r="R90" i="7" s="1"/>
  <c r="F89" i="7"/>
  <c r="R89" i="7" s="1"/>
  <c r="F88" i="7"/>
  <c r="R88" i="7" s="1"/>
  <c r="F87" i="7"/>
  <c r="R87" i="7" s="1"/>
  <c r="F86" i="7"/>
  <c r="R86" i="7" s="1"/>
  <c r="F85" i="7"/>
  <c r="R85" i="7" s="1"/>
  <c r="F84" i="7"/>
  <c r="R84" i="7" s="1"/>
  <c r="F83" i="7"/>
  <c r="R83" i="7" s="1"/>
  <c r="F82" i="7"/>
  <c r="R82" i="7" s="1"/>
  <c r="F81" i="7"/>
  <c r="R81" i="7" s="1"/>
  <c r="F80" i="7"/>
  <c r="R80" i="7" s="1"/>
  <c r="F79" i="7"/>
  <c r="R79" i="7" s="1"/>
  <c r="F78" i="7"/>
  <c r="R78" i="7" s="1"/>
  <c r="F77" i="7"/>
  <c r="R77" i="7" s="1"/>
  <c r="F76" i="7"/>
  <c r="R76" i="7" s="1"/>
  <c r="F75" i="7"/>
  <c r="R75" i="7" s="1"/>
  <c r="F74" i="7"/>
  <c r="R74" i="7" s="1"/>
  <c r="F73" i="7"/>
  <c r="R73" i="7" s="1"/>
  <c r="F72" i="7"/>
  <c r="R72" i="7" s="1"/>
  <c r="F71" i="7"/>
  <c r="R71" i="7" s="1"/>
  <c r="F70" i="7"/>
  <c r="R70" i="7" s="1"/>
  <c r="F69" i="7"/>
  <c r="R69" i="7" s="1"/>
  <c r="F68" i="7"/>
  <c r="R68" i="7" s="1"/>
  <c r="F67" i="7"/>
  <c r="R67" i="7" s="1"/>
  <c r="F66" i="7"/>
  <c r="R66" i="7" s="1"/>
  <c r="F65" i="7"/>
  <c r="R65" i="7" s="1"/>
  <c r="F64" i="7"/>
  <c r="R64" i="7" s="1"/>
  <c r="F63" i="7"/>
  <c r="R63" i="7" s="1"/>
  <c r="F62" i="7"/>
  <c r="R62" i="7" s="1"/>
  <c r="F61" i="7"/>
  <c r="R61" i="7" s="1"/>
  <c r="F60" i="7"/>
  <c r="R60" i="7" s="1"/>
  <c r="F59" i="7"/>
  <c r="R59" i="7" s="1"/>
  <c r="F58" i="7"/>
  <c r="R58" i="7" s="1"/>
  <c r="F57" i="7"/>
  <c r="R57" i="7" s="1"/>
  <c r="F56" i="7"/>
  <c r="R56" i="7" s="1"/>
  <c r="F55" i="7"/>
  <c r="R55" i="7" s="1"/>
  <c r="F54" i="7"/>
  <c r="R54" i="7" s="1"/>
  <c r="F53" i="7"/>
  <c r="R53" i="7" s="1"/>
  <c r="F52" i="7"/>
  <c r="R52" i="7" s="1"/>
  <c r="F51" i="7"/>
  <c r="R51" i="7" s="1"/>
  <c r="F50" i="7"/>
  <c r="R50" i="7" s="1"/>
  <c r="F49" i="7"/>
  <c r="R49" i="7" s="1"/>
  <c r="F48" i="7"/>
  <c r="R48" i="7" s="1"/>
  <c r="F47" i="7"/>
  <c r="R47" i="7" s="1"/>
  <c r="F46" i="7"/>
  <c r="R46" i="7" s="1"/>
  <c r="F45" i="7"/>
  <c r="R45" i="7" s="1"/>
  <c r="F44" i="7"/>
  <c r="R44" i="7" s="1"/>
  <c r="F43" i="7"/>
  <c r="R43" i="7" s="1"/>
  <c r="F42" i="7"/>
  <c r="R42" i="7" s="1"/>
  <c r="F41" i="7"/>
  <c r="R41" i="7" s="1"/>
  <c r="F40" i="7"/>
  <c r="R40" i="7" s="1"/>
  <c r="F39" i="7"/>
  <c r="R39" i="7" s="1"/>
  <c r="F38" i="7"/>
  <c r="R38" i="7" s="1"/>
  <c r="F37" i="7"/>
  <c r="R37" i="7" s="1"/>
  <c r="F36" i="7"/>
  <c r="R36" i="7" s="1"/>
  <c r="F35" i="7"/>
  <c r="R35" i="7" s="1"/>
  <c r="F34" i="7"/>
  <c r="R34" i="7" s="1"/>
  <c r="F33" i="7"/>
  <c r="R33" i="7" s="1"/>
  <c r="F32" i="7"/>
  <c r="R32" i="7" s="1"/>
  <c r="F31" i="7"/>
  <c r="R31" i="7" s="1"/>
  <c r="F30" i="7"/>
  <c r="R30" i="7" s="1"/>
  <c r="F29" i="7"/>
  <c r="R29" i="7" s="1"/>
  <c r="F28" i="7"/>
  <c r="R28" i="7" s="1"/>
  <c r="F27" i="7"/>
  <c r="R27" i="7" s="1"/>
  <c r="F26" i="7"/>
  <c r="R26" i="7" s="1"/>
  <c r="F25" i="7"/>
  <c r="R25" i="7" s="1"/>
  <c r="F24" i="7"/>
  <c r="R24" i="7" s="1"/>
  <c r="F23" i="7"/>
  <c r="R23" i="7" s="1"/>
  <c r="F22" i="7"/>
  <c r="R22" i="7" s="1"/>
  <c r="F21" i="7"/>
  <c r="R21" i="7" s="1"/>
  <c r="F20" i="7"/>
  <c r="R20" i="7" s="1"/>
  <c r="F19" i="7"/>
  <c r="R19" i="7" s="1"/>
  <c r="F18" i="7"/>
  <c r="R18" i="7" s="1"/>
  <c r="F17" i="7"/>
  <c r="R17" i="7" s="1"/>
  <c r="F16" i="7"/>
  <c r="R16" i="7" s="1"/>
  <c r="F15" i="7"/>
  <c r="R15" i="7" s="1"/>
  <c r="F14" i="7"/>
  <c r="R14" i="7" s="1"/>
  <c r="F13" i="7"/>
  <c r="R13" i="7" s="1"/>
  <c r="F12" i="7"/>
  <c r="R12" i="7" s="1"/>
  <c r="F11" i="7"/>
  <c r="R11" i="7" s="1"/>
  <c r="F10" i="7"/>
  <c r="R10" i="7" s="1"/>
  <c r="F9" i="7"/>
  <c r="R9" i="7" s="1"/>
  <c r="F8" i="7"/>
  <c r="R8" i="7" s="1"/>
  <c r="F7" i="7"/>
  <c r="R7" i="7" s="1"/>
  <c r="F6" i="7"/>
  <c r="R6" i="7" s="1"/>
  <c r="F5" i="7"/>
  <c r="R5" i="7" s="1"/>
  <c r="F4" i="7"/>
  <c r="F226" i="7" s="1"/>
  <c r="R4" i="7" l="1"/>
  <c r="R226" i="7" s="1"/>
</calcChain>
</file>

<file path=xl/comments1.xml><?xml version="1.0" encoding="utf-8"?>
<comments xmlns="http://schemas.openxmlformats.org/spreadsheetml/2006/main">
  <authors>
    <author>trinet01</author>
  </authors>
  <commentList>
    <comment ref="E1" authorId="0" shapeId="0">
      <text>
        <r>
          <rPr>
            <b/>
            <sz val="9"/>
            <color indexed="81"/>
            <rFont val="MS P ゴシック"/>
            <family val="3"/>
            <charset val="128"/>
          </rPr>
          <t>案件番号が設定されている場合、その案件番号に、コスト(単価)を100％計上する</t>
        </r>
      </text>
    </comment>
  </commentList>
</comments>
</file>

<file path=xl/sharedStrings.xml><?xml version="1.0" encoding="utf-8"?>
<sst xmlns="http://schemas.openxmlformats.org/spreadsheetml/2006/main" count="3219" uniqueCount="2908">
  <si>
    <t>設計</t>
    <rPh sb="0" eb="2">
      <t>セッケイ</t>
    </rPh>
    <phoneticPr fontId="3"/>
  </si>
  <si>
    <t>その他</t>
    <rPh sb="2" eb="3">
      <t>タ</t>
    </rPh>
    <phoneticPr fontId="3"/>
  </si>
  <si>
    <t>製造</t>
    <rPh sb="0" eb="2">
      <t>セイゾウ</t>
    </rPh>
    <phoneticPr fontId="3"/>
  </si>
  <si>
    <t>要件</t>
    <rPh sb="0" eb="2">
      <t>ヨウケン</t>
    </rPh>
    <phoneticPr fontId="3"/>
  </si>
  <si>
    <t>大森</t>
    <rPh sb="0" eb="2">
      <t>オオモリ</t>
    </rPh>
    <phoneticPr fontId="3"/>
  </si>
  <si>
    <t>安田</t>
    <rPh sb="0" eb="2">
      <t>ヤスダ</t>
    </rPh>
    <phoneticPr fontId="3"/>
  </si>
  <si>
    <t>藤田</t>
    <rPh sb="0" eb="2">
      <t>フジタ</t>
    </rPh>
    <phoneticPr fontId="3"/>
  </si>
  <si>
    <t>鈴木</t>
    <rPh sb="0" eb="2">
      <t>スズキ</t>
    </rPh>
    <phoneticPr fontId="3"/>
  </si>
  <si>
    <t>松田</t>
    <rPh sb="0" eb="2">
      <t>マツダ</t>
    </rPh>
    <phoneticPr fontId="3"/>
  </si>
  <si>
    <t>田口</t>
    <rPh sb="0" eb="2">
      <t>タグチ</t>
    </rPh>
    <phoneticPr fontId="3"/>
  </si>
  <si>
    <t>山内</t>
    <rPh sb="0" eb="2">
      <t>ヤマウチ</t>
    </rPh>
    <phoneticPr fontId="3"/>
  </si>
  <si>
    <t>中島</t>
    <rPh sb="0" eb="2">
      <t>ナカジマ</t>
    </rPh>
    <phoneticPr fontId="3"/>
  </si>
  <si>
    <t>細谷</t>
    <rPh sb="0" eb="2">
      <t>ホソタニ</t>
    </rPh>
    <phoneticPr fontId="3"/>
  </si>
  <si>
    <t>北島</t>
    <rPh sb="0" eb="2">
      <t>キタジマ</t>
    </rPh>
    <phoneticPr fontId="3"/>
  </si>
  <si>
    <t>管理</t>
  </si>
  <si>
    <t>勤怠表記入・稼動表記入・出退勤メール</t>
  </si>
  <si>
    <t>週次ミーティング</t>
  </si>
  <si>
    <t>業務・仕様理解</t>
  </si>
  <si>
    <t>電子化</t>
  </si>
  <si>
    <t>帳票</t>
  </si>
  <si>
    <t>1-14当月売上詳細(マンスリー途中解約者未計上分)</t>
  </si>
  <si>
    <t>その他</t>
  </si>
  <si>
    <t>全体ミーティング</t>
  </si>
  <si>
    <t>電子文書化_シーズン2</t>
  </si>
  <si>
    <t>契約開始月</t>
    <rPh sb="0" eb="2">
      <t>ケイヤク</t>
    </rPh>
    <rPh sb="2" eb="4">
      <t>カイシ</t>
    </rPh>
    <rPh sb="4" eb="5">
      <t>ツキ</t>
    </rPh>
    <phoneticPr fontId="3"/>
  </si>
  <si>
    <t>契約終了月</t>
    <rPh sb="0" eb="2">
      <t>ケイヤク</t>
    </rPh>
    <rPh sb="2" eb="4">
      <t>シュウリョウ</t>
    </rPh>
    <rPh sb="4" eb="5">
      <t>ツキ</t>
    </rPh>
    <phoneticPr fontId="3"/>
  </si>
  <si>
    <t>合計</t>
    <rPh sb="0" eb="2">
      <t>ゴウケイ</t>
    </rPh>
    <phoneticPr fontId="3"/>
  </si>
  <si>
    <t>熊井</t>
    <rPh sb="0" eb="2">
      <t>クマイ</t>
    </rPh>
    <phoneticPr fontId="3"/>
  </si>
  <si>
    <t>梅田</t>
    <rPh sb="0" eb="2">
      <t>ウメダ</t>
    </rPh>
    <phoneticPr fontId="3"/>
  </si>
  <si>
    <t>長谷川</t>
    <rPh sb="0" eb="3">
      <t>ハセガワ</t>
    </rPh>
    <phoneticPr fontId="3"/>
  </si>
  <si>
    <t>追加料金の表示</t>
  </si>
  <si>
    <t>在庫の入庫・出庫の当日訂正</t>
  </si>
  <si>
    <t>日次報告項目算出の自動化</t>
  </si>
  <si>
    <t>スタッフ公開日とWEB公開日</t>
  </si>
  <si>
    <t>SYSTEM-588</t>
  </si>
  <si>
    <t>レスケマッチング</t>
  </si>
  <si>
    <t>アプリ_AWS_MAI-1</t>
  </si>
  <si>
    <t>動作検証</t>
  </si>
  <si>
    <t>契約終了ロジックの変更</t>
  </si>
  <si>
    <t>リアルタイムキャンセル機能</t>
  </si>
  <si>
    <t>未払い督促方法の変更</t>
  </si>
  <si>
    <t>IRの指名検索機能</t>
  </si>
  <si>
    <t>WEB入会の支払い</t>
  </si>
  <si>
    <t>京都三条対応</t>
  </si>
  <si>
    <t>在庫管理表の項目追加（移送否認・本部メンテ）</t>
  </si>
  <si>
    <t>受講ステータスの変更機能</t>
  </si>
  <si>
    <t>住所不備アラート</t>
  </si>
  <si>
    <t>受講処理時の所有チケットの表示</t>
  </si>
  <si>
    <t>Sスタレッスンの表示ズレ対応</t>
  </si>
  <si>
    <t>会員様向けＭＧＭキャンペーンについて</t>
  </si>
  <si>
    <t>対応中案件の入力時間表示</t>
  </si>
  <si>
    <t>対応中案件のデフォルト値変更</t>
  </si>
  <si>
    <t>SEASON4-134</t>
  </si>
  <si>
    <t>銀行口座（強制フラグ）</t>
  </si>
  <si>
    <t>SYSTEM-1273</t>
  </si>
  <si>
    <t>キャンセル待ち予約順位のリストについて</t>
  </si>
  <si>
    <t>書類不備についての告知</t>
  </si>
  <si>
    <t>栄店対応</t>
  </si>
  <si>
    <t>DDOC-113</t>
  </si>
  <si>
    <t>顔写真機能追加</t>
  </si>
  <si>
    <t>SEASON4-4</t>
  </si>
  <si>
    <t>商業施設へのレポート出力機能</t>
  </si>
  <si>
    <t>オプションマンスリーのみ所有者のチケットを終了させる</t>
  </si>
  <si>
    <t>POS画面のPパスポート確認</t>
  </si>
  <si>
    <t>【変更】学割の強制終了</t>
  </si>
  <si>
    <t>女性専用スタジオの予約制御</t>
  </si>
  <si>
    <t>クーポン読みかえ_水素水バッグ</t>
  </si>
  <si>
    <t>SEASON4-37</t>
  </si>
  <si>
    <t>個人情報変更履歴管理機能</t>
  </si>
  <si>
    <t>SYSTEM-1420</t>
  </si>
  <si>
    <t>口座情報の整理について</t>
  </si>
  <si>
    <t>SYSTEM-1212</t>
  </si>
  <si>
    <t>勤怠システムの導入</t>
  </si>
  <si>
    <t>SYSTEM-1418</t>
  </si>
  <si>
    <t>【帳票】LOSの売上集計をシステム化したい</t>
  </si>
  <si>
    <t>口座情報確認用帳票出力</t>
  </si>
  <si>
    <t>Web 新規会員登録のCVフロー変更</t>
  </si>
  <si>
    <t>SYSTEM-1464</t>
  </si>
  <si>
    <t>請求口座が物理削除されている</t>
  </si>
  <si>
    <t>POSの点検レシート印刷をクリックしてもレシートが出ない</t>
  </si>
  <si>
    <t>解約されたOPマンスリーのチケットが復活している</t>
  </si>
  <si>
    <t>SYSTEM-1528</t>
  </si>
  <si>
    <t>【FY18_CSアンケート】アンケート内容変更　(2018年4月1日受講分～)</t>
  </si>
  <si>
    <t>SYSTEM-1544</t>
  </si>
  <si>
    <t>累計受講回数の表示(マーケG)</t>
  </si>
  <si>
    <t>クレジット決済（経理提出用）</t>
  </si>
  <si>
    <t>SEASON4-174</t>
  </si>
  <si>
    <t>Web入会の会員に体験予約リマインドメールが送信される</t>
  </si>
  <si>
    <t>SYSTEM-1586</t>
  </si>
  <si>
    <t>各種検索結果に開催スタジオを表記</t>
  </si>
  <si>
    <t>SYSTEM-1242</t>
  </si>
  <si>
    <t>【自動配信メール】全店_手ぶら体験について（マーケG）</t>
  </si>
  <si>
    <t>SYSTEM-1405</t>
  </si>
  <si>
    <t>解約届出書の余白に画像やQRコードを出したい(再登録施策について)(マーケG)</t>
  </si>
  <si>
    <t>SYSTEM-1520</t>
  </si>
  <si>
    <t>トップIRの氏名の前に王冠マークを入れたい</t>
  </si>
  <si>
    <t>SYSTEM-1617</t>
  </si>
  <si>
    <t>大須店閉店フロー対応（2018_6分）</t>
  </si>
  <si>
    <t>SYSTEM-1713</t>
  </si>
  <si>
    <t>【保守案件】タブレット　体験の個人情報規約に文章を追加</t>
  </si>
  <si>
    <t>SYSTEM-1734</t>
  </si>
  <si>
    <t>アンケートの変更（10分ヨガ）</t>
  </si>
  <si>
    <t>SYSTEM-1752</t>
  </si>
  <si>
    <t>コールセンター引越し対応（問い合わせ先）</t>
  </si>
  <si>
    <t>仮名</t>
  </si>
  <si>
    <t>帳票仕様書（8月次一覧表読込用）</t>
  </si>
  <si>
    <t>レッスンスタジオの表示</t>
  </si>
  <si>
    <t>トップインストラクターの表示</t>
  </si>
  <si>
    <t>調査依頼</t>
  </si>
  <si>
    <t>SYSTEM-1605</t>
  </si>
  <si>
    <t>CVフロー改修後の計測タグの動的出し分けの確認</t>
  </si>
  <si>
    <t>SEASON4-177</t>
  </si>
  <si>
    <t>貸倒データの取込</t>
  </si>
  <si>
    <t xml:space="preserve"> SYSTEM-1246</t>
  </si>
  <si>
    <t xml:space="preserve">LOS・基幹システムの外部連携（MDG） </t>
  </si>
  <si>
    <t>SYSTEM-1588</t>
  </si>
  <si>
    <t>トップIRページからの予約をカウント対象に含める</t>
  </si>
  <si>
    <t>SYSTEM-1514</t>
  </si>
  <si>
    <t>新規枠変更不可対応</t>
  </si>
  <si>
    <t>SEASON5-1</t>
  </si>
  <si>
    <t>SEASON4-176</t>
  </si>
  <si>
    <t>WEB入会来店リマインドメール</t>
  </si>
  <si>
    <t>SYSTEM-1585</t>
  </si>
  <si>
    <t>組合せ検索の結果に開催スタジオを表記</t>
  </si>
  <si>
    <t>SYSTEM-1587</t>
  </si>
  <si>
    <t>スタジオに性別を表記（全店）</t>
  </si>
  <si>
    <t>SYSTEM-1603</t>
  </si>
  <si>
    <t>8か月縛りのWeb入会プランの本日発行対応</t>
  </si>
  <si>
    <t>SYSTEM-1513</t>
  </si>
  <si>
    <t>10分ヨガデータ管理</t>
  </si>
  <si>
    <t>SEASON5-5</t>
  </si>
  <si>
    <t>事前TEL対応</t>
  </si>
  <si>
    <t>案件名</t>
    <rPh sb="0" eb="2">
      <t>アンケン</t>
    </rPh>
    <rPh sb="2" eb="3">
      <t>メイ</t>
    </rPh>
    <phoneticPr fontId="3"/>
  </si>
  <si>
    <t>ID</t>
    <phoneticPr fontId="3"/>
  </si>
  <si>
    <t>FY18</t>
    <phoneticPr fontId="3"/>
  </si>
  <si>
    <t>FY18-14</t>
    <phoneticPr fontId="3"/>
  </si>
  <si>
    <t>30％を超える社販スタート</t>
    <phoneticPr fontId="3"/>
  </si>
  <si>
    <t>FY18-10</t>
  </si>
  <si>
    <t>Web入会フェーズ3(11月リリース：既存店対応他)</t>
  </si>
  <si>
    <t>SYSTEM-1512</t>
  </si>
  <si>
    <t>SYSTEM-1807</t>
  </si>
  <si>
    <t>SYSTEM-1823</t>
  </si>
  <si>
    <t>SYSTEM-1618</t>
  </si>
  <si>
    <t>SYSTEM-1755</t>
  </si>
  <si>
    <t>SYSTEM-1783</t>
  </si>
  <si>
    <t>SYSTEM-1780</t>
  </si>
  <si>
    <t>ID</t>
  </si>
  <si>
    <t>backlogNo</t>
  </si>
  <si>
    <t>ビューティーサービスCSアンケート</t>
  </si>
  <si>
    <t>解約理由項目追加</t>
  </si>
  <si>
    <t>FY18-7</t>
  </si>
  <si>
    <t>レスケ集計項目追加</t>
  </si>
  <si>
    <t>IR検索ソース上にIR名が全員表示されている件について</t>
  </si>
  <si>
    <t>開発T費用合計</t>
    <rPh sb="0" eb="2">
      <t>カイハツ</t>
    </rPh>
    <rPh sb="3" eb="5">
      <t>ヒヨウ</t>
    </rPh>
    <rPh sb="5" eb="7">
      <t>ゴウケイ</t>
    </rPh>
    <phoneticPr fontId="3"/>
  </si>
  <si>
    <t>ステータス</t>
    <phoneticPr fontId="3"/>
  </si>
  <si>
    <t>完了</t>
  </si>
  <si>
    <t>対応中</t>
  </si>
  <si>
    <t>未対応</t>
  </si>
  <si>
    <t>SEASON4-181</t>
    <phoneticPr fontId="3"/>
  </si>
  <si>
    <t>斉藤</t>
    <rPh sb="0" eb="2">
      <t>サイトウ</t>
    </rPh>
    <phoneticPr fontId="3"/>
  </si>
  <si>
    <t>予約回数、性別をキーにした予約</t>
    <phoneticPr fontId="3"/>
  </si>
  <si>
    <t>HELPDESK-990</t>
  </si>
  <si>
    <t>SYSTEM-1895</t>
  </si>
  <si>
    <t>予約サイトからLOS会員登録して貰うための機能追加（MDG）</t>
  </si>
  <si>
    <t>FY18-28</t>
  </si>
  <si>
    <t>会員証用テプラ印刷データの作成</t>
  </si>
  <si>
    <t>FY18-19</t>
  </si>
  <si>
    <t>リブランディング　スタジオ前貼り出し用のレッスンスケジュール印刷</t>
  </si>
  <si>
    <t>FY18-15</t>
  </si>
  <si>
    <t>予約状況表リニューアル</t>
  </si>
  <si>
    <t>FY18-40</t>
  </si>
  <si>
    <t>10分ヨガ表記の追加（予約確認、予約状況）</t>
  </si>
  <si>
    <t>SYSTEM-1849</t>
  </si>
  <si>
    <t>在庫管理表を開くとエラー表示される</t>
  </si>
  <si>
    <t>FY18-42</t>
  </si>
  <si>
    <t>ラヴァ→ラバ表記に変更</t>
  </si>
  <si>
    <t>FY18-27</t>
  </si>
  <si>
    <t>IVR導入に伴うCC営業時間変更</t>
  </si>
  <si>
    <t>SYSTEM-1872</t>
  </si>
  <si>
    <t>【会員画面】パスワード変更督促ダイアログ</t>
  </si>
  <si>
    <t>FY18-49</t>
  </si>
  <si>
    <t>リブランディングに伴う商品読み替え作業</t>
  </si>
  <si>
    <t>FY18-33</t>
  </si>
  <si>
    <t>-</t>
  </si>
  <si>
    <t>リリース準備</t>
    <rPh sb="4" eb="6">
      <t>ジュンビ</t>
    </rPh>
    <phoneticPr fontId="1"/>
  </si>
  <si>
    <t>FY18-38</t>
  </si>
  <si>
    <t>各種メール送信エラーの対応</t>
  </si>
  <si>
    <t>FY18-64</t>
  </si>
  <si>
    <t>複数スタジオ対応</t>
  </si>
  <si>
    <t>FY18-63</t>
  </si>
  <si>
    <t>【LINE】ID連携の更新処理時にUPDATE日付が更新されない。</t>
  </si>
  <si>
    <t>FY18-62</t>
  </si>
  <si>
    <t>【LINE】キャンセル時にキャンセルメールが送信されない。</t>
  </si>
  <si>
    <t>SYSTEM-2015</t>
  </si>
  <si>
    <t>予約システムからマスターレッスンの表記を削除</t>
  </si>
  <si>
    <t>FY18-58</t>
  </si>
  <si>
    <t>Web入会永久割・特別月額定価月額表示制御</t>
  </si>
  <si>
    <t>SYSTEM-2031</t>
  </si>
  <si>
    <t>Web入会永久割プランの開始</t>
  </si>
  <si>
    <t>SYSTEM-1604</t>
  </si>
  <si>
    <t>アフィリエイトの計測タグ差替</t>
  </si>
  <si>
    <t>SYSTEM-1819</t>
  </si>
  <si>
    <t>福岡中洲店閉店</t>
  </si>
  <si>
    <t>DDOC-147</t>
  </si>
  <si>
    <t>解約変更一覧画面</t>
  </si>
  <si>
    <t>DDOC-146</t>
  </si>
  <si>
    <t>解約前アンケート再印刷</t>
  </si>
  <si>
    <t>DDOC-140</t>
  </si>
  <si>
    <t>解約アンケート集計</t>
  </si>
  <si>
    <t>DDOC-148</t>
  </si>
  <si>
    <t>変更（復会変更）プラス1店舗だけ外したい</t>
  </si>
  <si>
    <t>FY18-47</t>
  </si>
  <si>
    <t>期限の迫る商品券を所持していない会員に商品券期限終了アラートメールが送られる</t>
  </si>
  <si>
    <t>SYSTEM-1964</t>
  </si>
  <si>
    <t>予約専用ページ：LINEバナー追加の依頼（マーケG）</t>
  </si>
  <si>
    <t>SYSTEM-1968</t>
  </si>
  <si>
    <t>LAVA Life Vol.29(9月11日日発行）　アンケート設定のお願い</t>
  </si>
  <si>
    <t>SYSTEM-1948</t>
  </si>
  <si>
    <t>予約専用ページMGMバナー差し替えの依頼：9月分（マーケG）</t>
  </si>
  <si>
    <t>FY18-26</t>
  </si>
  <si>
    <t>オプションマンスリー(保険)の追加</t>
  </si>
  <si>
    <t>SYSTEM-2029</t>
  </si>
  <si>
    <t>リブランディング対応漏れ（LOS関連）</t>
  </si>
  <si>
    <t>SYSTEM-1971</t>
  </si>
  <si>
    <t>フロントシステム　会員詳細を表示のデフォルトチェックについて</t>
  </si>
  <si>
    <t>FY18-56</t>
  </si>
  <si>
    <t>配布用レスケ積み残し対応</t>
  </si>
  <si>
    <t>FY18-35</t>
  </si>
  <si>
    <t>バースデー特典を自動発行したい（マーケG）</t>
  </si>
  <si>
    <t>FY18-53</t>
  </si>
  <si>
    <t>【LINE】MGM（お友達招待）追加</t>
  </si>
  <si>
    <t>FY18-54</t>
  </si>
  <si>
    <t>予約・受講管理画面＠フロントシステムに会員証テプラ印刷ボタンを配置する</t>
  </si>
  <si>
    <t>FY18-52</t>
  </si>
  <si>
    <t>会員証印刷歴のステータス追加「再」</t>
  </si>
  <si>
    <t>FY18-59</t>
  </si>
  <si>
    <t>オプションマンスリー追加に伴う帳票の改修</t>
  </si>
  <si>
    <t>SYSTEM-2035</t>
  </si>
  <si>
    <t>lava-export-scheduleの出力JSONにマスターレッスンの印を追加する(マーケG)</t>
  </si>
  <si>
    <t>SYSTEM-2007</t>
  </si>
  <si>
    <t>WEB予約　ハイパーナイフのリンク変更</t>
  </si>
  <si>
    <t>SYSTEM-1896</t>
  </si>
  <si>
    <t>受講アンケート帳票作成・日次出力</t>
  </si>
  <si>
    <t>DDOC-152</t>
  </si>
  <si>
    <t>APIログ出力レベル修正</t>
  </si>
  <si>
    <t>SYSTEM-2078</t>
  </si>
  <si>
    <t>フロントシステムの対応中案件のソート</t>
  </si>
  <si>
    <t>FY18-70</t>
  </si>
  <si>
    <t>安心サポートをメイン店舗以外でもPOSできるようにする</t>
  </si>
  <si>
    <t>FY18-65</t>
  </si>
  <si>
    <t>【課税一覧】出力仕様不具合</t>
  </si>
  <si>
    <t>SYSTEM-1997</t>
  </si>
  <si>
    <t>FC店舗請求統一化</t>
  </si>
  <si>
    <t>FY18 振返CP対応</t>
  </si>
  <si>
    <t>FY18-66</t>
  </si>
  <si>
    <t>店舗価格変更11月1日～</t>
  </si>
  <si>
    <t>FY18-67</t>
  </si>
  <si>
    <t>パーソナルヨガキャンセル料発生の案内</t>
  </si>
  <si>
    <t>SYSTEM-2081</t>
  </si>
  <si>
    <t>バースデー特典の自動発行対象から「未払いあり」のお客様を除外する</t>
  </si>
  <si>
    <t>永久割(Lフル)のWeb入会申し込み時の予約件数表記</t>
  </si>
  <si>
    <t>FY18-79</t>
  </si>
  <si>
    <t>店舗フロント メイン店舗プラス1店舗の名称から予約画面遷移</t>
  </si>
  <si>
    <t>クレジット決済方法変更</t>
  </si>
  <si>
    <t>無効のチケットに対して解約変更申請が上がっている</t>
  </si>
  <si>
    <t>FY18-72</t>
  </si>
  <si>
    <t>会員証印刷　プラス１店舗の表記</t>
  </si>
  <si>
    <t>SYSTEM-2025</t>
  </si>
  <si>
    <t>体験予約時の来店時間の表記(マーケG)</t>
  </si>
  <si>
    <t>FY18-77</t>
  </si>
  <si>
    <t>【LINE】MGMボタンからID連携するとエラーとなるケースがある。</t>
  </si>
  <si>
    <t>FY18-61</t>
  </si>
  <si>
    <t>配布用レスケ積み残し対応②</t>
  </si>
  <si>
    <t>FY18-68</t>
  </si>
  <si>
    <t>【LINE】機種変更などの際に再ID連携ができない。</t>
  </si>
  <si>
    <t>FY18-51</t>
  </si>
  <si>
    <t>固定枠改修要望</t>
  </si>
  <si>
    <t>FY18-80</t>
  </si>
  <si>
    <t>配布用レスケ　マタニティ対応</t>
  </si>
  <si>
    <t>SYSTEM-2005</t>
  </si>
  <si>
    <t>hrシステム　交通費のみの支払入力と経理提出CSVの改修</t>
  </si>
  <si>
    <t>SYSTEM-2124</t>
  </si>
  <si>
    <t>回答意思が「あり」だが、解約理由画面で回答結果が表示されない</t>
  </si>
  <si>
    <t>FY18-60</t>
  </si>
  <si>
    <t>引換券の在庫連動</t>
  </si>
  <si>
    <t>SYSTEM-2100</t>
  </si>
  <si>
    <t>予約専用ページ：バナー移動のご依頼</t>
  </si>
  <si>
    <t>FY18-78</t>
  </si>
  <si>
    <t>【業務日報】1-1当月売上詳細(物販)の修正</t>
  </si>
  <si>
    <t>DDOC-154</t>
  </si>
  <si>
    <t>ログイン者がクリアされない</t>
  </si>
  <si>
    <t>変更後チケットの適用開始月が、CP縛り終了月の会員様について</t>
  </si>
  <si>
    <t>SYSTEM-2065</t>
  </si>
  <si>
    <t>【帳票改修】10WEB入会申込者一覧への追加項目について</t>
  </si>
  <si>
    <t>SYSTEM-2135</t>
  </si>
  <si>
    <t>予約専用ページMGMバナー差し替えの依頼：11月分（マーケG）</t>
  </si>
  <si>
    <t>SYSTEM-2136</t>
  </si>
  <si>
    <t>予約専用ページ：バナー差し替えのご依頼</t>
  </si>
  <si>
    <t>SYSTEM-2110</t>
  </si>
  <si>
    <t>店舗フロントシステム　エラー条件の修正</t>
  </si>
  <si>
    <t>SYSTEM-2109</t>
  </si>
  <si>
    <t>店舗フロントシステム　エラーメッセージ文言修正</t>
  </si>
  <si>
    <t>SYSTEM-2127</t>
  </si>
  <si>
    <t>FY18-121</t>
  </si>
  <si>
    <t>オープン日未定の新店でのWeb入会仮登録</t>
  </si>
  <si>
    <t>SYSTEM-2187</t>
  </si>
  <si>
    <t>池袋東口店　移転対応</t>
  </si>
  <si>
    <t>SYSTEM-2195</t>
  </si>
  <si>
    <t>LAVAFESTAイベント告知バナー予約ページに設置(マーケG)</t>
  </si>
  <si>
    <t>SYSTEM-2203</t>
  </si>
  <si>
    <t>14周年感謝祭イベント告知バナー予約ページに設置(マーケG)</t>
  </si>
  <si>
    <t>SYSTEM-2217</t>
  </si>
  <si>
    <t>Web入会が完了していないのに確定前決済情報が複数作成されている(CC)</t>
  </si>
  <si>
    <t>SYSTEM-2184</t>
  </si>
  <si>
    <t>店舗価格帯(店舗グレード)改定19年1月</t>
  </si>
  <si>
    <t>住所・電話番号の入力制御</t>
  </si>
  <si>
    <t>DDOC-155</t>
  </si>
  <si>
    <t>NEWタブレット　検証</t>
  </si>
  <si>
    <t>DDOC-156</t>
  </si>
  <si>
    <t>変更届出書　注意文言変更</t>
  </si>
  <si>
    <t>SYSTEM-2151</t>
  </si>
  <si>
    <t>HR 既存障害対応</t>
  </si>
  <si>
    <t>SYSTEM-2094</t>
  </si>
  <si>
    <t>配布用レスケの表示改善要望</t>
  </si>
  <si>
    <t>SYSTEM-2209</t>
  </si>
  <si>
    <t>10分ヨガ プログラム名の選択</t>
  </si>
  <si>
    <t>SYSTEM-2221</t>
  </si>
  <si>
    <t>メイン店舗が池袋東口店の方のフリカエ申込</t>
  </si>
  <si>
    <t>FY18-125</t>
  </si>
  <si>
    <t>リブランディングに伴う商品読み替え作業　１２月から</t>
  </si>
  <si>
    <t>DDOC-158</t>
  </si>
  <si>
    <t>カウンセリング取消　翌月適用申請が上げられない</t>
  </si>
  <si>
    <t>DDOC-160</t>
  </si>
  <si>
    <t>解約不可期間解約　解約タイプの選択が必須ではない</t>
  </si>
  <si>
    <t>SYSTEM-2154</t>
  </si>
  <si>
    <t>商業施設売上報告書改修依頼（安心オプションマンスリー売上追加）</t>
  </si>
  <si>
    <t>SYSTEM-2096</t>
  </si>
  <si>
    <t>渋谷クロスタワー店閉店について（201812対応分）</t>
  </si>
  <si>
    <t>FY18-109</t>
  </si>
  <si>
    <t>【FOE】＜入庫処理の自動化＞要件定義</t>
  </si>
  <si>
    <t>SYSTEM-2176</t>
  </si>
  <si>
    <t>レシートプリンター検証</t>
  </si>
  <si>
    <t>SYSTEM-2230</t>
  </si>
  <si>
    <t>現在のWeb入会仮登録画面の入力項目に電話番号を追加</t>
  </si>
  <si>
    <t>DDOC-159</t>
  </si>
  <si>
    <t>特定の順序を踏むと休会取消ができない</t>
  </si>
  <si>
    <t>DDOC-157</t>
  </si>
  <si>
    <t>マンスリー変更と解約申請が一緒に申請できるようになっている</t>
  </si>
  <si>
    <t>FY18-139</t>
  </si>
  <si>
    <t>【LINE】ID連携500円券付与対応 ＜設計開発＞</t>
  </si>
  <si>
    <t>山岸</t>
    <rPh sb="0" eb="2">
      <t>ヤマギシ</t>
    </rPh>
    <phoneticPr fontId="3"/>
  </si>
  <si>
    <t>【課税一覧】8月、9月分の出力</t>
  </si>
  <si>
    <t>FY18-124</t>
  </si>
  <si>
    <t>【帳票】1-4当月売上詳細(マンスリー全契約者)_Web入会者の請求開始月について</t>
  </si>
  <si>
    <t>SYSTEM-1702</t>
  </si>
  <si>
    <t>年月</t>
    <rPh sb="0" eb="2">
      <t>ネンゲツ</t>
    </rPh>
    <phoneticPr fontId="3"/>
  </si>
  <si>
    <t>北郷</t>
    <rPh sb="0" eb="2">
      <t>キタゴウ</t>
    </rPh>
    <phoneticPr fontId="3"/>
  </si>
  <si>
    <t>テスト</t>
    <phoneticPr fontId="3"/>
  </si>
  <si>
    <t>テスト</t>
    <phoneticPr fontId="3"/>
  </si>
  <si>
    <t>2018/4</t>
    <phoneticPr fontId="3"/>
  </si>
  <si>
    <t>2018/5</t>
    <phoneticPr fontId="3"/>
  </si>
  <si>
    <t>2018/6</t>
    <phoneticPr fontId="3"/>
  </si>
  <si>
    <t>2018/7</t>
  </si>
  <si>
    <t>2018/8</t>
  </si>
  <si>
    <t>2018/9</t>
  </si>
  <si>
    <t>2018/10</t>
  </si>
  <si>
    <t>2018/11</t>
  </si>
  <si>
    <t>2018/12</t>
  </si>
  <si>
    <t>2019/1</t>
    <phoneticPr fontId="3"/>
  </si>
  <si>
    <t>2019/2</t>
    <phoneticPr fontId="3"/>
  </si>
  <si>
    <t>2019/3</t>
    <phoneticPr fontId="3"/>
  </si>
  <si>
    <t>※その他</t>
    <rPh sb="3" eb="4">
      <t>タ</t>
    </rPh>
    <phoneticPr fontId="3"/>
  </si>
  <si>
    <t>・リリース準備（手順書・モジュールの作成）</t>
    <rPh sb="5" eb="7">
      <t>ジュンビ</t>
    </rPh>
    <rPh sb="8" eb="11">
      <t>テジュンショ</t>
    </rPh>
    <rPh sb="18" eb="20">
      <t>サクセイ</t>
    </rPh>
    <phoneticPr fontId="3"/>
  </si>
  <si>
    <t>・共通設計書の作成や反映依頼（テーブル定義書、ER図、区分マスタ等）</t>
    <rPh sb="1" eb="3">
      <t>キョウツウ</t>
    </rPh>
    <rPh sb="3" eb="6">
      <t>セッケイショ</t>
    </rPh>
    <rPh sb="7" eb="9">
      <t>サクセイ</t>
    </rPh>
    <rPh sb="10" eb="12">
      <t>ハンエイ</t>
    </rPh>
    <rPh sb="12" eb="14">
      <t>イライ</t>
    </rPh>
    <rPh sb="19" eb="21">
      <t>テイギ</t>
    </rPh>
    <rPh sb="21" eb="22">
      <t>ショ</t>
    </rPh>
    <rPh sb="25" eb="26">
      <t>ズ</t>
    </rPh>
    <rPh sb="27" eb="29">
      <t>クブン</t>
    </rPh>
    <rPh sb="32" eb="33">
      <t>トウ</t>
    </rPh>
    <phoneticPr fontId="3"/>
  </si>
  <si>
    <t>・問合せ調査（質問等受けた場合の回答調査）</t>
    <rPh sb="1" eb="3">
      <t>トイアワ</t>
    </rPh>
    <rPh sb="4" eb="6">
      <t>チョウサ</t>
    </rPh>
    <rPh sb="7" eb="9">
      <t>シツモン</t>
    </rPh>
    <rPh sb="9" eb="10">
      <t>トウ</t>
    </rPh>
    <rPh sb="10" eb="11">
      <t>ウ</t>
    </rPh>
    <rPh sb="13" eb="15">
      <t>バアイ</t>
    </rPh>
    <rPh sb="16" eb="18">
      <t>カイトウ</t>
    </rPh>
    <rPh sb="18" eb="20">
      <t>チョウサ</t>
    </rPh>
    <phoneticPr fontId="3"/>
  </si>
  <si>
    <t>・メンバーフォロー（リーダークラスが主に行っている）</t>
    <rPh sb="18" eb="19">
      <t>オモ</t>
    </rPh>
    <rPh sb="20" eb="21">
      <t>オコナ</t>
    </rPh>
    <phoneticPr fontId="3"/>
  </si>
  <si>
    <t>総計</t>
    <rPh sb="0" eb="2">
      <t>ソウケイ</t>
    </rPh>
    <phoneticPr fontId="3"/>
  </si>
  <si>
    <t>SYSTEM-1782</t>
    <phoneticPr fontId="3"/>
  </si>
  <si>
    <t>組み合わせ検索で開始時間を指定すると正しく表示されない</t>
    <phoneticPr fontId="3"/>
  </si>
  <si>
    <t>SYSTEM-1784</t>
    <phoneticPr fontId="3"/>
  </si>
  <si>
    <t>組み合わせ検索の開始時間を2400に設定して検索すると落ちる</t>
    <phoneticPr fontId="3"/>
  </si>
  <si>
    <t>HKシステム入れ替えによる基幹システムへの影響</t>
    <phoneticPr fontId="3"/>
  </si>
  <si>
    <t>完了</t>
    <phoneticPr fontId="3"/>
  </si>
  <si>
    <t>受講完了メールにあるアンケートURLをクリックすると回答期限切れのアンケートも回答できてしまう</t>
    <phoneticPr fontId="3"/>
  </si>
  <si>
    <t>パーソナルレッスンの管理</t>
    <phoneticPr fontId="3"/>
  </si>
  <si>
    <t>「追加料金パターン」項目を削除する</t>
    <phoneticPr fontId="3"/>
  </si>
  <si>
    <t>1-14当月売上詳細(マンスリー途中解約者未計上分)改修</t>
    <phoneticPr fontId="3"/>
  </si>
  <si>
    <t>店舗フロントシステムの予約画面（カレンダー予約）で店舗名に都道府県名を表示させたい（CS推進G）</t>
    <phoneticPr fontId="3"/>
  </si>
  <si>
    <t>お客様情報画面で存在しない会員番号で表示するとnullで落ちる</t>
    <phoneticPr fontId="3"/>
  </si>
  <si>
    <t>【帳票】1-4当月売上詳細(マンスリー全契約者)_当月来店日数の追加</t>
    <phoneticPr fontId="3"/>
  </si>
  <si>
    <t>SYSTEM-1808</t>
    <phoneticPr fontId="3"/>
  </si>
  <si>
    <t>7月1日の設問変更によるアンケート集計バッチの改修(事推G)</t>
    <phoneticPr fontId="3"/>
  </si>
  <si>
    <t>FY18-30</t>
    <phoneticPr fontId="3"/>
  </si>
  <si>
    <t>新規枠はデフォルト設定の新規枠より多く自由に増減できるようにする</t>
    <phoneticPr fontId="3"/>
  </si>
  <si>
    <t>SYSTEM-1878</t>
    <phoneticPr fontId="3"/>
  </si>
  <si>
    <t>口座不備だが、引き落としできた場合の旧口座ステータス変更処理</t>
    <phoneticPr fontId="3"/>
  </si>
  <si>
    <t>FY18-11</t>
    <phoneticPr fontId="3"/>
  </si>
  <si>
    <t>固定枠判定フラグ</t>
    <phoneticPr fontId="3"/>
  </si>
  <si>
    <t>SYSTEM-1709</t>
    <phoneticPr fontId="3"/>
  </si>
  <si>
    <t>無断キャンセルメールの文面変更のお願い</t>
    <phoneticPr fontId="3"/>
  </si>
  <si>
    <t>SYSTEM-1824</t>
    <phoneticPr fontId="3"/>
  </si>
  <si>
    <t>レジ日報出力</t>
    <phoneticPr fontId="3"/>
  </si>
  <si>
    <t>SYSTEM-1853</t>
    <phoneticPr fontId="3"/>
  </si>
  <si>
    <t>組み合わせ検索の開始時間を2400に設定して検索すると、時間が検索条件に含まれない</t>
    <phoneticPr fontId="3"/>
  </si>
  <si>
    <t>SYSTEM-1854</t>
    <phoneticPr fontId="3"/>
  </si>
  <si>
    <t>無断キャンセルアラートメールのキャンセル回数算出方法を修正</t>
    <phoneticPr fontId="3"/>
  </si>
  <si>
    <t>SYSTEM-1863</t>
    <phoneticPr fontId="3"/>
  </si>
  <si>
    <t>店舗フロントのカレンダー予約で表示されないレッスンがある</t>
    <phoneticPr fontId="3"/>
  </si>
  <si>
    <t>SYSTEM-1864</t>
    <phoneticPr fontId="3"/>
  </si>
  <si>
    <t>コンバージョンタグによる計測ができていない</t>
    <phoneticPr fontId="3"/>
  </si>
  <si>
    <t>SYSTEM-1874</t>
    <phoneticPr fontId="3"/>
  </si>
  <si>
    <t>Web入会の申込完了メールと初回レッスン予約完了メールからレンタルウェアの無料を撤廃(マーケG)</t>
    <phoneticPr fontId="3"/>
  </si>
  <si>
    <t>SYSTEM-1880</t>
    <phoneticPr fontId="3"/>
  </si>
  <si>
    <t>棚卸を実行したが保存されていないとの声がある</t>
    <phoneticPr fontId="3"/>
  </si>
  <si>
    <t>FY18-16</t>
    <phoneticPr fontId="3"/>
  </si>
  <si>
    <t>アプリLINE検討プロジェクト</t>
    <phoneticPr fontId="3"/>
  </si>
  <si>
    <t>アンケート　Q1-5とQ1-6だけ選択ができない</t>
    <phoneticPr fontId="3"/>
  </si>
  <si>
    <t>SEASON4-157</t>
    <phoneticPr fontId="3"/>
  </si>
  <si>
    <t>郵便番号必須入力</t>
    <phoneticPr fontId="3"/>
  </si>
  <si>
    <t>SYSTEM-1870</t>
    <phoneticPr fontId="3"/>
  </si>
  <si>
    <t>【帳票】特別レッスンの際に、feepatternが出力されていない問題</t>
    <phoneticPr fontId="3"/>
  </si>
  <si>
    <t>SYSTEM-1857</t>
    <phoneticPr fontId="3"/>
  </si>
  <si>
    <t>【帳票】1-13KPI算出元データ(翌月スタートマンスリー全契約者)_当月来店日数の追加</t>
    <phoneticPr fontId="3"/>
  </si>
  <si>
    <t>SYSTEM-1894</t>
    <phoneticPr fontId="3"/>
  </si>
  <si>
    <t>フロントシステムの事前TEL管理について</t>
    <phoneticPr fontId="3"/>
  </si>
  <si>
    <t>CC_REPLACE-2</t>
    <phoneticPr fontId="3"/>
  </si>
  <si>
    <t>当日キャンセル自動化</t>
    <phoneticPr fontId="3"/>
  </si>
  <si>
    <t>SYSTEM-1730</t>
    <phoneticPr fontId="3"/>
  </si>
  <si>
    <t>【保守案件】請求口座　データ不備対応（無効の口座なのに有効になっている）</t>
    <phoneticPr fontId="3"/>
  </si>
  <si>
    <t>HELPDESK-1224</t>
    <phoneticPr fontId="3"/>
  </si>
  <si>
    <t>【回答依頼】システムG：719(木)まで：ログイン時エラーメッセージについて(CC札幌)</t>
    <phoneticPr fontId="3"/>
  </si>
  <si>
    <t>HELPDESK-1371</t>
    <phoneticPr fontId="3"/>
  </si>
  <si>
    <t>インストラクターの変更が出来ない(イオンモール日の出)</t>
    <phoneticPr fontId="3"/>
  </si>
  <si>
    <t>FY18-20</t>
    <phoneticPr fontId="3"/>
  </si>
  <si>
    <t>配布用レスケのリニューアル</t>
    <phoneticPr fontId="3"/>
  </si>
  <si>
    <t>SYSTEM-1897</t>
    <phoneticPr fontId="3"/>
  </si>
  <si>
    <t>レッスン区分追加（マタニティ、フローティング、EMS）</t>
    <phoneticPr fontId="3"/>
  </si>
  <si>
    <t>SYSTEM-2024</t>
    <phoneticPr fontId="3"/>
  </si>
  <si>
    <t>基幹システムのWin10対応</t>
    <phoneticPr fontId="3"/>
  </si>
  <si>
    <t>リブランディング関係（タブレットとWEB予約のデザイン修正）</t>
    <rPh sb="20" eb="22">
      <t>ヨヤク</t>
    </rPh>
    <rPh sb="27" eb="29">
      <t>シュウセイ</t>
    </rPh>
    <phoneticPr fontId="3"/>
  </si>
  <si>
    <t>完了</t>
    <phoneticPr fontId="3"/>
  </si>
  <si>
    <t>会員証テプラの保険マンスリー対応</t>
    <phoneticPr fontId="3"/>
  </si>
  <si>
    <t>WEB入会永久割103プランについて（マーケG）</t>
    <phoneticPr fontId="3"/>
  </si>
  <si>
    <t>POIのバージョンを統一する（随時対応）</t>
    <rPh sb="15" eb="17">
      <t>ズイジ</t>
    </rPh>
    <rPh sb="17" eb="19">
      <t>タイオウ</t>
    </rPh>
    <phoneticPr fontId="3"/>
  </si>
  <si>
    <t>赫</t>
    <phoneticPr fontId="3"/>
  </si>
  <si>
    <t>SEASON4-64</t>
    <phoneticPr fontId="3"/>
  </si>
  <si>
    <t>SEASON4-107</t>
    <phoneticPr fontId="3"/>
  </si>
  <si>
    <t>SEASON4-21</t>
    <phoneticPr fontId="3"/>
  </si>
  <si>
    <t>SYSTEM-1291</t>
    <phoneticPr fontId="3"/>
  </si>
  <si>
    <t>SYSTEM-982</t>
    <phoneticPr fontId="3"/>
  </si>
  <si>
    <t>SYSTEM-849</t>
    <phoneticPr fontId="3"/>
  </si>
  <si>
    <t>SEASON4-43</t>
    <phoneticPr fontId="3"/>
  </si>
  <si>
    <t>SEASON4-33</t>
    <phoneticPr fontId="3"/>
  </si>
  <si>
    <t>SEASON4-59</t>
    <phoneticPr fontId="3"/>
  </si>
  <si>
    <t>SEASON4-105</t>
    <phoneticPr fontId="3"/>
  </si>
  <si>
    <t>SEASON4-106</t>
    <phoneticPr fontId="3"/>
  </si>
  <si>
    <t>通常業務支援-01</t>
    <phoneticPr fontId="3"/>
  </si>
  <si>
    <t>SYSTEM-866</t>
    <phoneticPr fontId="3"/>
  </si>
  <si>
    <t>SEASON4-65</t>
    <phoneticPr fontId="3"/>
  </si>
  <si>
    <t>SEASON4-61_95</t>
    <phoneticPr fontId="3"/>
  </si>
  <si>
    <t>SEASON4-128</t>
    <phoneticPr fontId="3"/>
  </si>
  <si>
    <t>SYSTEM-1046</t>
    <phoneticPr fontId="3"/>
  </si>
  <si>
    <t>SYSTEM-1254</t>
    <phoneticPr fontId="3"/>
  </si>
  <si>
    <t>SEASON4-131</t>
    <phoneticPr fontId="3"/>
  </si>
  <si>
    <t>SEASON4-91</t>
    <phoneticPr fontId="3"/>
  </si>
  <si>
    <t>DDOC-127</t>
    <phoneticPr fontId="3"/>
  </si>
  <si>
    <t>SYSTEM-1375</t>
    <phoneticPr fontId="3"/>
  </si>
  <si>
    <t>SYSTEM-1315</t>
    <phoneticPr fontId="3"/>
  </si>
  <si>
    <t>SEASON4-156</t>
    <phoneticPr fontId="3"/>
  </si>
  <si>
    <t>SEASON4-141</t>
    <phoneticPr fontId="3"/>
  </si>
  <si>
    <t>SYSTEM-1458</t>
    <phoneticPr fontId="3"/>
  </si>
  <si>
    <t>SYSTEM-1503</t>
    <phoneticPr fontId="3"/>
  </si>
  <si>
    <t>SEASON4-137</t>
    <phoneticPr fontId="3"/>
  </si>
  <si>
    <t>SYSTEM-1609</t>
    <phoneticPr fontId="3"/>
  </si>
  <si>
    <t>FY18-9</t>
    <phoneticPr fontId="3"/>
  </si>
  <si>
    <t>SYSTEM-2041</t>
    <phoneticPr fontId="3"/>
  </si>
  <si>
    <t>SYSTEM-2088</t>
    <phoneticPr fontId="3"/>
  </si>
  <si>
    <t>FY18-34</t>
    <phoneticPr fontId="3"/>
  </si>
  <si>
    <t>SYSTEM-2138</t>
    <phoneticPr fontId="3"/>
  </si>
  <si>
    <t>FY18-90</t>
    <phoneticPr fontId="3"/>
  </si>
  <si>
    <t>SYSTEM-2149</t>
    <phoneticPr fontId="3"/>
  </si>
  <si>
    <t>SYSTEM-2125</t>
    <phoneticPr fontId="3"/>
  </si>
  <si>
    <t>SYSTEM-2173</t>
    <phoneticPr fontId="3"/>
  </si>
  <si>
    <t>↓</t>
    <phoneticPr fontId="3"/>
  </si>
  <si>
    <t>梅田さん控除分：</t>
  </si>
  <si>
    <t>325,125円</t>
  </si>
  <si>
    <t>(稼動時間：63.5h</t>
  </si>
  <si>
    <t>不足時間：76.5h</t>
  </si>
  <si>
    <t>計算式：4250円/h × 76.5ｈ）</t>
  </si>
  <si>
    <t>集計年月</t>
    <rPh sb="0" eb="2">
      <t>シュウケイ</t>
    </rPh>
    <rPh sb="2" eb="4">
      <t>ネンゲツ</t>
    </rPh>
    <phoneticPr fontId="3"/>
  </si>
  <si>
    <t>安田 永好</t>
    <phoneticPr fontId="3"/>
  </si>
  <si>
    <t>藤田 桂月</t>
    <phoneticPr fontId="3"/>
  </si>
  <si>
    <t>北島 佑一</t>
    <phoneticPr fontId="3"/>
  </si>
  <si>
    <t>山岸 裕也</t>
    <phoneticPr fontId="3"/>
  </si>
  <si>
    <t>春原 早苗</t>
    <phoneticPr fontId="3"/>
  </si>
  <si>
    <t>金 東熙</t>
    <phoneticPr fontId="3"/>
  </si>
  <si>
    <t>浜田 典之</t>
    <phoneticPr fontId="3"/>
  </si>
  <si>
    <t>白坂 竜輝</t>
    <rPh sb="0" eb="2">
      <t>シラサカ</t>
    </rPh>
    <rPh sb="3" eb="4">
      <t>リュウ</t>
    </rPh>
    <rPh sb="4" eb="5">
      <t>テル</t>
    </rPh>
    <phoneticPr fontId="3"/>
  </si>
  <si>
    <t>海老沢 優典</t>
    <rPh sb="0" eb="3">
      <t>エビサワ</t>
    </rPh>
    <rPh sb="4" eb="5">
      <t>ユウ</t>
    </rPh>
    <rPh sb="5" eb="6">
      <t>テン</t>
    </rPh>
    <phoneticPr fontId="3"/>
  </si>
  <si>
    <t>黄 瑩瑩</t>
    <phoneticPr fontId="3"/>
  </si>
  <si>
    <t>岩崎 皓也</t>
    <phoneticPr fontId="3"/>
  </si>
  <si>
    <t>小林 直身</t>
    <phoneticPr fontId="3"/>
  </si>
  <si>
    <t>冨樫 孝彦</t>
    <phoneticPr fontId="3"/>
  </si>
  <si>
    <t>開発費用合計</t>
    <phoneticPr fontId="3"/>
  </si>
  <si>
    <t>FY21</t>
  </si>
  <si>
    <t>案件番号</t>
    <phoneticPr fontId="3"/>
  </si>
  <si>
    <t>単価</t>
    <rPh sb="0" eb="2">
      <t>タンカ</t>
    </rPh>
    <phoneticPr fontId="3"/>
  </si>
  <si>
    <t>名前</t>
    <rPh sb="0" eb="2">
      <t>ナマエ</t>
    </rPh>
    <phoneticPr fontId="3"/>
  </si>
  <si>
    <t>2021/04</t>
  </si>
  <si>
    <t>菊地 恭平</t>
    <rPh sb="0" eb="2">
      <t>キクチ</t>
    </rPh>
    <rPh sb="3" eb="5">
      <t>キョウヘイ</t>
    </rPh>
    <phoneticPr fontId="3"/>
  </si>
  <si>
    <t>栗野 紗愛耶</t>
    <phoneticPr fontId="3"/>
  </si>
  <si>
    <t>川島 麻里枝</t>
    <phoneticPr fontId="3"/>
  </si>
  <si>
    <t>管理-3</t>
    <phoneticPr fontId="3"/>
  </si>
  <si>
    <t>ミーティング</t>
    <phoneticPr fontId="3"/>
  </si>
  <si>
    <t>業務・仕様理解</t>
    <phoneticPr fontId="3"/>
  </si>
  <si>
    <t>リリース準備</t>
    <phoneticPr fontId="3"/>
  </si>
  <si>
    <t>管理-9</t>
    <phoneticPr fontId="3"/>
  </si>
  <si>
    <t>案件-1</t>
    <phoneticPr fontId="3"/>
  </si>
  <si>
    <t>案件-2</t>
    <phoneticPr fontId="3"/>
  </si>
  <si>
    <t>（予備）</t>
    <phoneticPr fontId="3"/>
  </si>
  <si>
    <t>管理-13</t>
    <phoneticPr fontId="3"/>
  </si>
  <si>
    <t>（予備）旧結合テストシナリオ作成</t>
    <phoneticPr fontId="3"/>
  </si>
  <si>
    <t>引継ぎ</t>
    <phoneticPr fontId="3"/>
  </si>
  <si>
    <t>管理-21</t>
    <phoneticPr fontId="3"/>
  </si>
  <si>
    <t>管理-23</t>
    <phoneticPr fontId="3"/>
  </si>
  <si>
    <t>管理-26</t>
    <phoneticPr fontId="3"/>
  </si>
  <si>
    <t>管理-27</t>
    <phoneticPr fontId="3"/>
  </si>
  <si>
    <t>追加料金の表示</t>
    <phoneticPr fontId="3"/>
  </si>
  <si>
    <t>在庫の入庫・出庫の当日訂正</t>
    <phoneticPr fontId="3"/>
  </si>
  <si>
    <t>スタッフ公開日とWEB公開日</t>
    <phoneticPr fontId="3"/>
  </si>
  <si>
    <t>動作検証</t>
    <phoneticPr fontId="3"/>
  </si>
  <si>
    <t>WEB入会の支払い</t>
    <phoneticPr fontId="3"/>
  </si>
  <si>
    <t>受講ステータスの変更機能</t>
    <phoneticPr fontId="3"/>
  </si>
  <si>
    <t>受講処理時の所有チケットの表示</t>
    <phoneticPr fontId="3"/>
  </si>
  <si>
    <t>対応中案件の入力時間表示</t>
    <phoneticPr fontId="3"/>
  </si>
  <si>
    <t>商業施設へのレポート出力機能</t>
    <phoneticPr fontId="3"/>
  </si>
  <si>
    <t>【変更】学割の強制終了</t>
    <phoneticPr fontId="3"/>
  </si>
  <si>
    <t>勤怠システムの導入</t>
    <phoneticPr fontId="3"/>
  </si>
  <si>
    <t>SYSTEM-1418</t>
    <phoneticPr fontId="3"/>
  </si>
  <si>
    <t>口座情報確認用帳票出力</t>
    <phoneticPr fontId="3"/>
  </si>
  <si>
    <t>POSの点検レシート印刷をクリックしてもレシートが出ない</t>
    <phoneticPr fontId="3"/>
  </si>
  <si>
    <t>仮名：トップインストラクターの表示</t>
    <phoneticPr fontId="3"/>
  </si>
  <si>
    <t>解約されたOPマンスリーのチケットが復活している</t>
    <phoneticPr fontId="3"/>
  </si>
  <si>
    <t>クレジット決済（経理提出用）</t>
    <phoneticPr fontId="3"/>
  </si>
  <si>
    <t>CVフロー改修後の計測タグの動的出し分けの確認</t>
    <phoneticPr fontId="3"/>
  </si>
  <si>
    <t>SEASON4-177</t>
    <phoneticPr fontId="3"/>
  </si>
  <si>
    <t>新規枠の変更を許可しない</t>
    <phoneticPr fontId="3"/>
  </si>
  <si>
    <t>SEASON4-176</t>
    <phoneticPr fontId="3"/>
  </si>
  <si>
    <t>SYSTEM-1585</t>
    <phoneticPr fontId="3"/>
  </si>
  <si>
    <t>スタジオに性別を表記（全店）</t>
    <phoneticPr fontId="3"/>
  </si>
  <si>
    <t>電子文書化_シーズン2</t>
    <phoneticPr fontId="3"/>
  </si>
  <si>
    <t>SYSTEM-1242</t>
    <phoneticPr fontId="3"/>
  </si>
  <si>
    <t>SYSTEM-1405</t>
    <phoneticPr fontId="3"/>
  </si>
  <si>
    <t>事前TEL対応</t>
    <phoneticPr fontId="3"/>
  </si>
  <si>
    <t>インストラクターの変更が出来ない(イオンモール日の出)</t>
    <phoneticPr fontId="3"/>
  </si>
  <si>
    <t>リブランディング　スタジオ前貼り出し用のレッスンスケジュール印刷</t>
    <phoneticPr fontId="3"/>
  </si>
  <si>
    <t>【会員画面】パスワード変更督促ダイアログ</t>
    <phoneticPr fontId="3"/>
  </si>
  <si>
    <t>FY18-64</t>
    <phoneticPr fontId="3"/>
  </si>
  <si>
    <t>SYSTEM-1604</t>
    <phoneticPr fontId="3"/>
  </si>
  <si>
    <t>期限の迫る商品券を所持していない会員に商品券期限終了アラートメールが送られる</t>
    <phoneticPr fontId="3"/>
  </si>
  <si>
    <t>安心サポートをメイン店舗以外でもPOSできるようにする</t>
    <phoneticPr fontId="3"/>
  </si>
  <si>
    <t>会員証印刷　プラス１店舗の表記</t>
    <phoneticPr fontId="3"/>
  </si>
  <si>
    <t>住所・電話番号の入力制御</t>
    <phoneticPr fontId="3"/>
  </si>
  <si>
    <t>FY18-167</t>
    <phoneticPr fontId="3"/>
  </si>
  <si>
    <t>体験予約での会員登録時の店舗選択プルダウンの変更</t>
    <phoneticPr fontId="3"/>
  </si>
  <si>
    <t>返金</t>
    <phoneticPr fontId="3"/>
  </si>
  <si>
    <t>FY18-156</t>
    <phoneticPr fontId="3"/>
  </si>
  <si>
    <t>SYSTEM-2386</t>
    <phoneticPr fontId="3"/>
  </si>
  <si>
    <t>SYSTEM-2381</t>
    <phoneticPr fontId="3"/>
  </si>
  <si>
    <t>フリカエCP対象者にマイページにバナーリンクを表示(マーケG)</t>
    <phoneticPr fontId="3"/>
  </si>
  <si>
    <t>SYSTEM-2407</t>
    <phoneticPr fontId="3"/>
  </si>
  <si>
    <t>SYSTEM-2468</t>
    <phoneticPr fontId="3"/>
  </si>
  <si>
    <t>FY18-141</t>
    <phoneticPr fontId="3"/>
  </si>
  <si>
    <t>FY18-215</t>
    <phoneticPr fontId="3"/>
  </si>
  <si>
    <t>SYSTEM-2552</t>
    <phoneticPr fontId="3"/>
  </si>
  <si>
    <t>FY18-192</t>
    <phoneticPr fontId="3"/>
  </si>
  <si>
    <t>FY18-142</t>
    <phoneticPr fontId="3"/>
  </si>
  <si>
    <t>SYSTEM-2393</t>
    <phoneticPr fontId="3"/>
  </si>
  <si>
    <t>M4で申し込むと予約できない</t>
    <phoneticPr fontId="3"/>
  </si>
  <si>
    <t>FY19-8</t>
    <phoneticPr fontId="3"/>
  </si>
  <si>
    <t>富山_暗闇ボクササイズ対応</t>
    <phoneticPr fontId="3"/>
  </si>
  <si>
    <t>WEBENTRY-33</t>
    <phoneticPr fontId="3"/>
  </si>
  <si>
    <t>店舗jsonファイル　社員番号出力順変更依頼</t>
    <phoneticPr fontId="3"/>
  </si>
  <si>
    <t>FY19-37</t>
    <phoneticPr fontId="3"/>
  </si>
  <si>
    <t>FY19-35</t>
    <phoneticPr fontId="3"/>
  </si>
  <si>
    <t>LVA Life vol.32 アンケートの設定をお願いします。</t>
    <phoneticPr fontId="3"/>
  </si>
  <si>
    <t>WEBENTRY-48</t>
    <phoneticPr fontId="3"/>
  </si>
  <si>
    <t>【運用改善】月次棚卸画面およびチェックシートの商品表示順変更</t>
    <phoneticPr fontId="3"/>
  </si>
  <si>
    <t>予約専用ページ「ずっと割」バナー差し替えの依頼：2019年8月分（クリエイティブG）</t>
    <phoneticPr fontId="3"/>
  </si>
  <si>
    <t>FY19-69</t>
    <phoneticPr fontId="3"/>
  </si>
  <si>
    <t>SYSTEM-2880</t>
    <phoneticPr fontId="3"/>
  </si>
  <si>
    <t>解約アンケート数の減少について</t>
    <phoneticPr fontId="3"/>
  </si>
  <si>
    <t>11・12月15周年MGM企画の件</t>
    <phoneticPr fontId="3"/>
  </si>
  <si>
    <t>シーモール下関・イオンタウン防府　店舗グレード変更</t>
    <phoneticPr fontId="3"/>
  </si>
  <si>
    <t>【バグ対応】レスケシステム レッスン変更してもレッスン時間が変更されない</t>
    <phoneticPr fontId="3"/>
  </si>
  <si>
    <t>税抜価格の表示復活</t>
    <phoneticPr fontId="3"/>
  </si>
  <si>
    <t>SYSTEM-2977</t>
    <phoneticPr fontId="3"/>
  </si>
  <si>
    <t>SYSTEM-3026</t>
    <phoneticPr fontId="3"/>
  </si>
  <si>
    <t>Web入会申込完了ページの文言追加</t>
    <phoneticPr fontId="3"/>
  </si>
  <si>
    <t>2019年10月クーポン参画表（マーケG）</t>
    <phoneticPr fontId="3"/>
  </si>
  <si>
    <t>FY19-126</t>
    <phoneticPr fontId="3"/>
  </si>
  <si>
    <t>SYSTEM-3104</t>
    <phoneticPr fontId="3"/>
  </si>
  <si>
    <t>FY19-129</t>
    <phoneticPr fontId="3"/>
  </si>
  <si>
    <t>決済エラー</t>
    <phoneticPr fontId="3"/>
  </si>
  <si>
    <t>SYSTEM-3307</t>
    <phoneticPr fontId="3"/>
  </si>
  <si>
    <t>【アプリ】会員証ページのプラパス表示不具合</t>
    <phoneticPr fontId="3"/>
  </si>
  <si>
    <t>予約専用ページ＆予約完了ページ：YOGA DELIGHTバナー差し替えのお願い</t>
    <phoneticPr fontId="3"/>
  </si>
  <si>
    <t>WEB入会 実決済をバッチで実行させたい（テスト時日付を変えずに実決済させたい）</t>
    <phoneticPr fontId="3"/>
  </si>
  <si>
    <t>SYSTEM-3222</t>
    <phoneticPr fontId="3"/>
  </si>
  <si>
    <t>SYSTEM-3391</t>
    <phoneticPr fontId="3"/>
  </si>
  <si>
    <t>予約中レッスンの店名が旧名で表示される（小牧郷中店）</t>
    <phoneticPr fontId="3"/>
  </si>
  <si>
    <t>LAVAアプリ　強制アップロード対応</t>
    <phoneticPr fontId="3"/>
  </si>
  <si>
    <t>SYSTEM-3680</t>
    <phoneticPr fontId="3"/>
  </si>
  <si>
    <t>SYSTEM-3678</t>
    <phoneticPr fontId="3"/>
  </si>
  <si>
    <t>2月CLC誤請求の会員のチケットメンテ</t>
    <phoneticPr fontId="3"/>
  </si>
  <si>
    <t>返金金額算出バッチ</t>
    <phoneticPr fontId="3"/>
  </si>
  <si>
    <t>【コロナ対応】解約金額表示画面に個別対応内容を表示する</t>
    <phoneticPr fontId="3"/>
  </si>
  <si>
    <t>【コロナ対応】レスケを「承認完了」にしたらステータスを変更できないようにしたい</t>
    <phoneticPr fontId="3"/>
  </si>
  <si>
    <t>ポイントが反映しない件に関して</t>
    <phoneticPr fontId="3"/>
  </si>
  <si>
    <t>SYSTEM-3745</t>
    <phoneticPr fontId="3"/>
  </si>
  <si>
    <t>FY19-227</t>
    <phoneticPr fontId="3"/>
  </si>
  <si>
    <t>【障害】ポイントの使用時の順序について</t>
    <phoneticPr fontId="3"/>
  </si>
  <si>
    <t>【運用改善】ポイントの残合計をCSV出力するバッチ作成</t>
    <phoneticPr fontId="3"/>
  </si>
  <si>
    <t>【メンテナンス】ポイント一括発行できる機能がほしい</t>
    <phoneticPr fontId="3"/>
  </si>
  <si>
    <t>Lapreメールニュース連携設定ご確認のお願い</t>
    <phoneticPr fontId="3"/>
  </si>
  <si>
    <t>HELPDESK-14547</t>
    <phoneticPr fontId="3"/>
  </si>
  <si>
    <t>FY19-214</t>
    <phoneticPr fontId="3"/>
  </si>
  <si>
    <t>【運用改善】メールSMTPサーバ変更運用方法検討</t>
    <phoneticPr fontId="3"/>
  </si>
  <si>
    <t>マンスリーチケットをPOSされているが会員種別が「体験」になっている</t>
    <phoneticPr fontId="3"/>
  </si>
  <si>
    <t>アプリの予約確認画面に特殊レッスンの注釈を表示</t>
    <phoneticPr fontId="3"/>
  </si>
  <si>
    <t>予約専用ページ：複数バナー差し替えのお願い（513）</t>
    <phoneticPr fontId="3"/>
  </si>
  <si>
    <t>【コロナ対応】復会申請の変更届出書に注釈を追加</t>
    <phoneticPr fontId="3"/>
  </si>
  <si>
    <t>1-7当月売上詳細(返金)20200731</t>
    <phoneticPr fontId="3"/>
  </si>
  <si>
    <t>FY19-263</t>
    <phoneticPr fontId="3"/>
  </si>
  <si>
    <t>SYSTEM-4027</t>
    <phoneticPr fontId="3"/>
  </si>
  <si>
    <t>【アプリ】お知らせ改修箇所調査依頼</t>
    <phoneticPr fontId="3"/>
  </si>
  <si>
    <t>予約専用ページ：LOSバナー【画像差し替え】のお願い（9/25）</t>
    <phoneticPr fontId="3"/>
  </si>
  <si>
    <t>【調査】集金代行マンスリー請求結果取込バッチ口座保留会員情報一覧メール送信先が退職者になっている</t>
    <phoneticPr fontId="3"/>
  </si>
  <si>
    <t>休会前が閉店の場合、フロントシステムで復会申請を行うと落ちる</t>
    <phoneticPr fontId="3"/>
  </si>
  <si>
    <t>LAVALINE・LapreLINEのプッシュ通知からLapreへ遷移する際にシングルサインオンでログインできるようにしたい</t>
    <phoneticPr fontId="3"/>
  </si>
  <si>
    <t>SYSTEM-4269</t>
    <phoneticPr fontId="3"/>
  </si>
  <si>
    <t>アプリ│バナー更新・下げ依頼（201101）</t>
    <phoneticPr fontId="3"/>
  </si>
  <si>
    <t>FY19-287</t>
    <phoneticPr fontId="3"/>
  </si>
  <si>
    <t>HELPDESK-15727</t>
    <phoneticPr fontId="3"/>
  </si>
  <si>
    <t>アプリ│バナー更新・下げ依頼（201114）</t>
    <phoneticPr fontId="3"/>
  </si>
  <si>
    <t>WEBENTRY-146</t>
    <phoneticPr fontId="3"/>
  </si>
  <si>
    <t>SYSTEM-4439</t>
    <phoneticPr fontId="3"/>
  </si>
  <si>
    <t>上大岡アネックス店の営業形態・屋号変更について(12月末)</t>
    <phoneticPr fontId="3"/>
  </si>
  <si>
    <t>予約専用ページ：MGMバナー【出し分け】のご依頼（11/24)</t>
    <phoneticPr fontId="3"/>
  </si>
  <si>
    <t>レスケ整合性チェックツール</t>
    <phoneticPr fontId="3"/>
  </si>
  <si>
    <t>アプリ│バナー更新・下げ依頼（201201）</t>
    <phoneticPr fontId="3"/>
  </si>
  <si>
    <t>SYSTEM-4429</t>
    <phoneticPr fontId="3"/>
  </si>
  <si>
    <t>アプリ│バナー更新依頼（210101）</t>
    <phoneticPr fontId="3"/>
  </si>
  <si>
    <t>SYSTEM-4083</t>
    <phoneticPr fontId="3"/>
  </si>
  <si>
    <t>SYSTEM-4529</t>
    <phoneticPr fontId="3"/>
  </si>
  <si>
    <t>【ログ】本番サーバのログローテに関して</t>
    <phoneticPr fontId="3"/>
  </si>
  <si>
    <t>Web休会申請での休会申請とOP解約申請の一括作成</t>
    <phoneticPr fontId="3"/>
  </si>
  <si>
    <t>店舗来店テーブルのインデックス追加検討</t>
    <phoneticPr fontId="3"/>
  </si>
  <si>
    <t>アプリ│バナー更新依頼（210202）</t>
    <phoneticPr fontId="3"/>
  </si>
  <si>
    <t>SYSTEM-4531</t>
    <phoneticPr fontId="3"/>
  </si>
  <si>
    <t>SYSTEM-4637</t>
    <phoneticPr fontId="3"/>
  </si>
  <si>
    <t>予約専用ページ：MGMバナー【出し分け】のご依頼（2/18)</t>
    <phoneticPr fontId="3"/>
  </si>
  <si>
    <t>【障害】アプリのポイント履歴画面に付与日時が表示されない</t>
    <phoneticPr fontId="3"/>
  </si>
  <si>
    <t>SYSTEM-4664</t>
    <phoneticPr fontId="3"/>
  </si>
  <si>
    <t>お手軽5おすすめ対象者・対応中案件登録依頼</t>
    <phoneticPr fontId="3"/>
  </si>
  <si>
    <t>プラス１登録の初期化について(千種⇔星ヶ丘)</t>
    <phoneticPr fontId="3"/>
  </si>
  <si>
    <t>SYSTEM-4669</t>
    <phoneticPr fontId="3"/>
  </si>
  <si>
    <t>SYSTEM-4735</t>
    <phoneticPr fontId="3"/>
  </si>
  <si>
    <t xml:space="preserve">【調査】棚卸画面NullPointerエラー（2021年3月末棚卸：元住吉店） </t>
    <phoneticPr fontId="3"/>
  </si>
  <si>
    <t>SYSTEM-4597</t>
    <phoneticPr fontId="3"/>
  </si>
  <si>
    <t>大森 高広</t>
    <phoneticPr fontId="3"/>
  </si>
  <si>
    <t>計上案件番号</t>
    <rPh sb="0" eb="2">
      <t>ケイジョウ</t>
    </rPh>
    <rPh sb="2" eb="4">
      <t>アンケン</t>
    </rPh>
    <rPh sb="4" eb="6">
      <t>バンゴウ</t>
    </rPh>
    <phoneticPr fontId="3"/>
  </si>
  <si>
    <t>管理-1</t>
    <phoneticPr fontId="3"/>
  </si>
  <si>
    <t>10分ヨガデータ管理</t>
    <phoneticPr fontId="3"/>
  </si>
  <si>
    <t>SEASON5-5</t>
    <phoneticPr fontId="3"/>
  </si>
  <si>
    <t>SYSTEM-1617</t>
    <phoneticPr fontId="3"/>
  </si>
  <si>
    <t>大須店閉店フロー対応（2018_6分）</t>
    <phoneticPr fontId="3"/>
  </si>
  <si>
    <t>SYSTEM-1734</t>
    <phoneticPr fontId="3"/>
  </si>
  <si>
    <t>アンケートの変更（10分ヨガ）</t>
    <phoneticPr fontId="3"/>
  </si>
  <si>
    <t>SEASON4-181</t>
    <phoneticPr fontId="3"/>
  </si>
  <si>
    <t>仮名：IR検索ソース上にIR名が全員表示されている件について</t>
    <phoneticPr fontId="3"/>
  </si>
  <si>
    <t>SYSTEM-1752</t>
    <phoneticPr fontId="3"/>
  </si>
  <si>
    <t>FY18-14</t>
    <phoneticPr fontId="3"/>
  </si>
  <si>
    <t>FY18-10</t>
    <phoneticPr fontId="3"/>
  </si>
  <si>
    <t>組み合わせ検索で開始時間を指定すると正しく表示されない</t>
    <phoneticPr fontId="3"/>
  </si>
  <si>
    <t>受講完了メールにあるアンケートURLをクリックすると回答期限切れのアンケートも回答できてしまう</t>
    <phoneticPr fontId="3"/>
  </si>
  <si>
    <t>1-14当月売上詳細(マンスリー途中解約者未計上分)改修</t>
    <phoneticPr fontId="3"/>
  </si>
  <si>
    <t>SYSTEM-1755</t>
    <phoneticPr fontId="3"/>
  </si>
  <si>
    <t>店舗フロントシステムの予約画面（カレンダー予約）で店舗名に都道府県名を表示させたい（CS推進G）</t>
    <phoneticPr fontId="3"/>
  </si>
  <si>
    <t>SYSTEM-1783</t>
    <phoneticPr fontId="3"/>
  </si>
  <si>
    <t>お客様情報画面で存在しない会員番号で表示するとnullで落ちる</t>
    <phoneticPr fontId="3"/>
  </si>
  <si>
    <t>SYSTEM-1808</t>
    <phoneticPr fontId="3"/>
  </si>
  <si>
    <t>7月1日の設問変更によるアンケート集計バッチの改修(事推G)</t>
    <phoneticPr fontId="3"/>
  </si>
  <si>
    <t>FY18-30</t>
    <phoneticPr fontId="3"/>
  </si>
  <si>
    <t>新規枠はデフォルト設定の新規枠より多く自由に増減できるようにする</t>
    <phoneticPr fontId="3"/>
  </si>
  <si>
    <t>固定枠判定フラグ</t>
    <phoneticPr fontId="3"/>
  </si>
  <si>
    <t>無断キャンセルアラートメールのキャンセル回数算出方法を修正</t>
    <phoneticPr fontId="3"/>
  </si>
  <si>
    <t>SYSTEM-1863</t>
    <phoneticPr fontId="3"/>
  </si>
  <si>
    <t>店舗フロントのカレンダー予約で表示されないレッスンがある</t>
    <phoneticPr fontId="3"/>
  </si>
  <si>
    <t>SYSTEM-1864</t>
    <phoneticPr fontId="3"/>
  </si>
  <si>
    <t>SYSTEM-1874</t>
    <phoneticPr fontId="3"/>
  </si>
  <si>
    <t>FY18-16</t>
    <phoneticPr fontId="3"/>
  </si>
  <si>
    <t>アプリLINE検討プロジェクト</t>
    <phoneticPr fontId="3"/>
  </si>
  <si>
    <t>【帳票】特別レッスンの際に、feepatternが出力されていない問題</t>
    <phoneticPr fontId="3"/>
  </si>
  <si>
    <t>SYSTEM-1857</t>
    <phoneticPr fontId="3"/>
  </si>
  <si>
    <t>SYSTEM-1894</t>
    <phoneticPr fontId="3"/>
  </si>
  <si>
    <t>フロントシステムの事前TEL管理について</t>
    <phoneticPr fontId="3"/>
  </si>
  <si>
    <t>CC_REPLACE-2</t>
    <phoneticPr fontId="3"/>
  </si>
  <si>
    <t>当日キャンセル自動化</t>
    <phoneticPr fontId="3"/>
  </si>
  <si>
    <t>HELPDESK-1224</t>
    <phoneticPr fontId="3"/>
  </si>
  <si>
    <t>HELPDESK-1371</t>
    <phoneticPr fontId="3"/>
  </si>
  <si>
    <t>FY18-20</t>
    <phoneticPr fontId="3"/>
  </si>
  <si>
    <t>SYSTEM-1897</t>
    <phoneticPr fontId="3"/>
  </si>
  <si>
    <t>SYSTEM-1895</t>
    <phoneticPr fontId="3"/>
  </si>
  <si>
    <t>会員証用テプラ印刷データの作成</t>
    <phoneticPr fontId="3"/>
  </si>
  <si>
    <t>予約状況表リニューアル</t>
    <phoneticPr fontId="3"/>
  </si>
  <si>
    <t>SYSTEM-1849</t>
    <phoneticPr fontId="3"/>
  </si>
  <si>
    <t>SYSTEM-1872</t>
    <phoneticPr fontId="3"/>
  </si>
  <si>
    <t>FY18-49</t>
    <phoneticPr fontId="3"/>
  </si>
  <si>
    <t>リブランディングに伴う商品読み替え作業</t>
    <phoneticPr fontId="3"/>
  </si>
  <si>
    <t>FY18-33</t>
    <phoneticPr fontId="3"/>
  </si>
  <si>
    <t>複数スタジオ対応</t>
    <phoneticPr fontId="3"/>
  </si>
  <si>
    <t>FC店舗請求統一化</t>
    <phoneticPr fontId="3"/>
  </si>
  <si>
    <t>FY18-62</t>
    <phoneticPr fontId="3"/>
  </si>
  <si>
    <t>SYSTEM-2015</t>
    <phoneticPr fontId="3"/>
  </si>
  <si>
    <t>Web入会永久割プランの開始</t>
    <phoneticPr fontId="3"/>
  </si>
  <si>
    <t>アフィリエイトの計測タグ差替</t>
    <phoneticPr fontId="3"/>
  </si>
  <si>
    <t>SYSTEM-1819</t>
    <phoneticPr fontId="3"/>
  </si>
  <si>
    <t>変更（復会変更）プラス1店舗だけ外したい</t>
    <phoneticPr fontId="3"/>
  </si>
  <si>
    <t>SYSTEM-1964</t>
    <phoneticPr fontId="3"/>
  </si>
  <si>
    <t>予約専用ページ：LINEバナー追加の依頼（マーケG）</t>
    <phoneticPr fontId="3"/>
  </si>
  <si>
    <t>予約専用ページMGMバナー差し替えの依頼：9月分（マーケG）</t>
    <phoneticPr fontId="3"/>
  </si>
  <si>
    <t>オプションマンスリー(保険)の追加</t>
    <phoneticPr fontId="3"/>
  </si>
  <si>
    <t>リブランディング対応漏れ（LOS関連）</t>
    <phoneticPr fontId="3"/>
  </si>
  <si>
    <t>FY18-56</t>
    <phoneticPr fontId="3"/>
  </si>
  <si>
    <t>SYSTEM-2041</t>
    <phoneticPr fontId="3"/>
  </si>
  <si>
    <t>バースデー特典を自動発行したい（マーケG）</t>
    <phoneticPr fontId="3"/>
  </si>
  <si>
    <t>FY18-53</t>
    <phoneticPr fontId="3"/>
  </si>
  <si>
    <t>FY18-54</t>
    <phoneticPr fontId="3"/>
  </si>
  <si>
    <t>FY18-59</t>
    <phoneticPr fontId="3"/>
  </si>
  <si>
    <t>SYSTEM-2007</t>
    <phoneticPr fontId="3"/>
  </si>
  <si>
    <t>受講アンケート帳票作成・日次出力</t>
    <phoneticPr fontId="3"/>
  </si>
  <si>
    <t>APIログ出力レベル修正</t>
    <phoneticPr fontId="3"/>
  </si>
  <si>
    <t>FY18-65</t>
    <phoneticPr fontId="3"/>
  </si>
  <si>
    <t>FY18-34</t>
    <phoneticPr fontId="3"/>
  </si>
  <si>
    <t>FY18-67</t>
    <phoneticPr fontId="3"/>
  </si>
  <si>
    <t>SYSTEM-2081</t>
    <phoneticPr fontId="3"/>
  </si>
  <si>
    <t>SYSTEM-2138</t>
    <phoneticPr fontId="3"/>
  </si>
  <si>
    <t>FY18-79</t>
    <phoneticPr fontId="3"/>
  </si>
  <si>
    <t>店舗フロント メイン店舗プラス1店舗の名称から予約画面遷移</t>
    <phoneticPr fontId="3"/>
  </si>
  <si>
    <t>SYSTEM-2149</t>
    <phoneticPr fontId="3"/>
  </si>
  <si>
    <t>無効のチケットに対して解約変更申請が上がっている</t>
    <phoneticPr fontId="3"/>
  </si>
  <si>
    <t>FY18-77</t>
    <phoneticPr fontId="3"/>
  </si>
  <si>
    <t>【LINE】MGMボタンからID連携するとエラーとなるケースがある。</t>
    <phoneticPr fontId="3"/>
  </si>
  <si>
    <t>配布用レスケ積み残し対応②</t>
    <phoneticPr fontId="3"/>
  </si>
  <si>
    <t>FY18-68</t>
    <phoneticPr fontId="3"/>
  </si>
  <si>
    <t>【LINE】機種変更などの際に再ID連携ができない。</t>
    <phoneticPr fontId="3"/>
  </si>
  <si>
    <t>hrシステム　交通費のみの支払入力と経理提出CSVの改修</t>
    <phoneticPr fontId="3"/>
  </si>
  <si>
    <t>引換券の在庫連動</t>
    <phoneticPr fontId="3"/>
  </si>
  <si>
    <t>SYSTEM-2100</t>
    <phoneticPr fontId="3"/>
  </si>
  <si>
    <t>予約専用ページ：バナー移動のご依頼</t>
    <phoneticPr fontId="3"/>
  </si>
  <si>
    <t>【業務日報】1-1当月売上詳細(物販)の修正</t>
    <phoneticPr fontId="3"/>
  </si>
  <si>
    <t>DDOC-154</t>
    <phoneticPr fontId="3"/>
  </si>
  <si>
    <t>ログイン者がクリアされない</t>
    <phoneticPr fontId="3"/>
  </si>
  <si>
    <t>SYSTEM-2125</t>
    <phoneticPr fontId="3"/>
  </si>
  <si>
    <t>SYSTEM-2065</t>
    <phoneticPr fontId="3"/>
  </si>
  <si>
    <t>SYSTEM-2136</t>
    <phoneticPr fontId="3"/>
  </si>
  <si>
    <t>予約専用ページ：バナー差し替えのご依頼</t>
    <phoneticPr fontId="3"/>
  </si>
  <si>
    <t>店舗フロントシステム　エラー条件の修正</t>
    <phoneticPr fontId="3"/>
  </si>
  <si>
    <t>SYSTEM-2127</t>
    <phoneticPr fontId="3"/>
  </si>
  <si>
    <t>POIのバージョンを統一する</t>
    <phoneticPr fontId="3"/>
  </si>
  <si>
    <t>FY18-121</t>
    <phoneticPr fontId="3"/>
  </si>
  <si>
    <t>オープン日未定の新店でのWeb入会仮登録</t>
    <phoneticPr fontId="3"/>
  </si>
  <si>
    <t>SYSTEM-2187</t>
    <phoneticPr fontId="3"/>
  </si>
  <si>
    <t>池袋東口店　移転対応</t>
    <phoneticPr fontId="3"/>
  </si>
  <si>
    <t>SYSTEM-2195</t>
    <phoneticPr fontId="3"/>
  </si>
  <si>
    <t>SYSTEM-2203</t>
    <phoneticPr fontId="3"/>
  </si>
  <si>
    <t>14周年感謝祭イベント告知バナー予約ページに設置(マーケG)</t>
    <phoneticPr fontId="3"/>
  </si>
  <si>
    <t>Web入会が完了していないのに確定前決済情報が複数作成されている(CC)</t>
    <phoneticPr fontId="3"/>
  </si>
  <si>
    <t>店舗価格帯(店舗グレード)改定19年1月</t>
    <phoneticPr fontId="3"/>
  </si>
  <si>
    <t>SYSTEM-2173</t>
    <phoneticPr fontId="3"/>
  </si>
  <si>
    <t>SYSTEM-2151</t>
    <phoneticPr fontId="3"/>
  </si>
  <si>
    <t>SYSTEM-2209</t>
    <phoneticPr fontId="3"/>
  </si>
  <si>
    <t>FY18-125</t>
    <phoneticPr fontId="3"/>
  </si>
  <si>
    <t>FY18-109</t>
    <phoneticPr fontId="3"/>
  </si>
  <si>
    <t>【FOE】＜入庫処理の自動化＞要件定義</t>
    <phoneticPr fontId="3"/>
  </si>
  <si>
    <t>現在のWeb入会仮登録画面の入力項目に電話番号を追加</t>
    <phoneticPr fontId="3"/>
  </si>
  <si>
    <t>特定の順序を踏むと休会取消ができない</t>
    <phoneticPr fontId="3"/>
  </si>
  <si>
    <t>DDOC-157</t>
    <phoneticPr fontId="3"/>
  </si>
  <si>
    <t>FY18-139</t>
    <phoneticPr fontId="3"/>
  </si>
  <si>
    <t>SYSTEM-1702</t>
    <phoneticPr fontId="3"/>
  </si>
  <si>
    <t>【帳票】1-4当月売上詳細(マンスリー全契約者)_Web入会者の請求開始月について</t>
    <phoneticPr fontId="3"/>
  </si>
  <si>
    <t>SYSTEM-2231</t>
    <phoneticPr fontId="3"/>
  </si>
  <si>
    <t>LOSポイント交換フロー変更</t>
    <phoneticPr fontId="3"/>
  </si>
  <si>
    <t>SYSTEM-2263</t>
    <phoneticPr fontId="3"/>
  </si>
  <si>
    <t>SYSTEM-2287</t>
    <phoneticPr fontId="3"/>
  </si>
  <si>
    <t>商業施設売上報告_年末配信のメール内容について</t>
    <phoneticPr fontId="3"/>
  </si>
  <si>
    <t>SYSTEM-2276</t>
    <phoneticPr fontId="3"/>
  </si>
  <si>
    <t>FY18-122</t>
    <phoneticPr fontId="3"/>
  </si>
  <si>
    <t>【課税一覧】出力仕様不具合２＜設計開発＞</t>
    <phoneticPr fontId="3"/>
  </si>
  <si>
    <t>SYSTEM-2264</t>
    <phoneticPr fontId="3"/>
  </si>
  <si>
    <t>WEB予約システム　10分ヨガのタイトル表示</t>
    <phoneticPr fontId="3"/>
  </si>
  <si>
    <t>SYSTEM-2190</t>
    <phoneticPr fontId="3"/>
  </si>
  <si>
    <t>SYSTEM-2202</t>
    <phoneticPr fontId="3"/>
  </si>
  <si>
    <t>太陽礼拝イベント告知バナー予約ページに設置(マーケG)</t>
    <phoneticPr fontId="3"/>
  </si>
  <si>
    <t>HELPDESK-5173</t>
    <phoneticPr fontId="3"/>
  </si>
  <si>
    <t>予約専用ページMGMバナー差し替えの依頼：2019年 1月分（マーケG）</t>
    <phoneticPr fontId="3"/>
  </si>
  <si>
    <t>FY18-162</t>
    <phoneticPr fontId="3"/>
  </si>
  <si>
    <t>【LINE】PUSH通知の自動配信＜設計開発＞</t>
    <phoneticPr fontId="3"/>
  </si>
  <si>
    <t>FY18-165</t>
    <phoneticPr fontId="3"/>
  </si>
  <si>
    <t>未来店のまま『マンスリーCP』のPOSが打ててしまう</t>
    <phoneticPr fontId="3"/>
  </si>
  <si>
    <t>マウスオーバー時に表示される文言を修正する。</t>
    <phoneticPr fontId="3"/>
  </si>
  <si>
    <t>SYSTEM-2266</t>
    <phoneticPr fontId="3"/>
  </si>
  <si>
    <t>DDOC-111</t>
    <phoneticPr fontId="3"/>
  </si>
  <si>
    <t>【本部システム】店舗登録時のstudio_group の start_dateの設定</t>
    <phoneticPr fontId="3"/>
  </si>
  <si>
    <t>フロントシステム　解約ボタンが非活性（ステータス：カウンセリング中）</t>
    <phoneticPr fontId="3"/>
  </si>
  <si>
    <t>SYSTEM-2310</t>
    <phoneticPr fontId="3"/>
  </si>
  <si>
    <t>【14周年感謝祭】満足度アンケート実施依頼</t>
    <phoneticPr fontId="3"/>
  </si>
  <si>
    <t>FY18-83</t>
    <phoneticPr fontId="3"/>
  </si>
  <si>
    <t>後受講時、会員レッスン履歴テーブルの最終更新者に設定する値を修正する</t>
    <phoneticPr fontId="3"/>
  </si>
  <si>
    <t>重複チェックダイアログのヘッダー項目である「携帯TEL」と「自宅TEL」が逆に表示される問題を修正する</t>
    <phoneticPr fontId="3"/>
  </si>
  <si>
    <t>FY18-82</t>
    <phoneticPr fontId="3"/>
  </si>
  <si>
    <t>【FOE】入庫処理の自動化検討</t>
    <phoneticPr fontId="3"/>
  </si>
  <si>
    <t>DDOC-153</t>
    <phoneticPr fontId="3"/>
  </si>
  <si>
    <t>施設利用同意書と体験カウンセリングシート　jasper化</t>
    <phoneticPr fontId="3"/>
  </si>
  <si>
    <t>SYSTEM-2361</t>
    <phoneticPr fontId="3"/>
  </si>
  <si>
    <t>SQL Serverのバージョンアップ</t>
    <phoneticPr fontId="3"/>
  </si>
  <si>
    <t>FY18-190</t>
    <phoneticPr fontId="3"/>
  </si>
  <si>
    <t>Web入会特典の引換を１度で済ませたい　SV要望</t>
    <phoneticPr fontId="3"/>
  </si>
  <si>
    <t>口座設定画面、書類確認画面に入力チェックを追加する</t>
    <phoneticPr fontId="3"/>
  </si>
  <si>
    <t>チケットメンテナンス画面の表示制御を追加する</t>
    <phoneticPr fontId="3"/>
  </si>
  <si>
    <t>SYSTEM-2410</t>
    <phoneticPr fontId="3"/>
  </si>
  <si>
    <t>Web入会各種規約改定</t>
    <phoneticPr fontId="3"/>
  </si>
  <si>
    <t>SYSTEM-2476</t>
    <phoneticPr fontId="3"/>
  </si>
  <si>
    <t>船橋店の利用性別表記＠各種システム</t>
    <phoneticPr fontId="3"/>
  </si>
  <si>
    <t>SYSTEM-2411</t>
    <phoneticPr fontId="3"/>
  </si>
  <si>
    <t>SYSTEM-2401</t>
    <phoneticPr fontId="3"/>
  </si>
  <si>
    <t>翌月適用漏れの対応</t>
    <phoneticPr fontId="3"/>
  </si>
  <si>
    <t>SYSTEM-2448</t>
    <phoneticPr fontId="3"/>
  </si>
  <si>
    <t>定員数の変更を行なうとエラーとなる</t>
    <phoneticPr fontId="3"/>
  </si>
  <si>
    <t>チケットメンテナンス画面における初回利用期限日、購入時回数、残回数の入力チェックを追加する</t>
    <phoneticPr fontId="3"/>
  </si>
  <si>
    <t>口座設定画面でゆうちょが選択されている場合、記号と番号に入力チェックを追加する</t>
    <phoneticPr fontId="3"/>
  </si>
  <si>
    <t>SYSTEM-2364</t>
    <phoneticPr fontId="3"/>
  </si>
  <si>
    <t>SYSTEM-2388</t>
    <phoneticPr fontId="3"/>
  </si>
  <si>
    <t>WEB入会プラン（マーケG）</t>
    <phoneticPr fontId="3"/>
  </si>
  <si>
    <t>SYSTEM-2422</t>
    <phoneticPr fontId="3"/>
  </si>
  <si>
    <t>【ご確認】新店 ブランチ仙台店｜商品コード作成のお願い</t>
    <phoneticPr fontId="3"/>
  </si>
  <si>
    <t>SYSTEM-2469</t>
    <phoneticPr fontId="3"/>
  </si>
  <si>
    <t>商品読替作業　３月から</t>
    <phoneticPr fontId="3"/>
  </si>
  <si>
    <t>予約専用ページMGMバナー差し替えの依頼：2019年 3月分（マーケG）</t>
    <phoneticPr fontId="3"/>
  </si>
  <si>
    <t>SYSTEM-2485</t>
    <phoneticPr fontId="3"/>
  </si>
  <si>
    <t>立川北口店の利用性別表記＠各種システム</t>
    <phoneticPr fontId="3"/>
  </si>
  <si>
    <t>オープン日未定Web入会でのオープン予定表記</t>
    <phoneticPr fontId="3"/>
  </si>
  <si>
    <t>FY18-184</t>
    <phoneticPr fontId="3"/>
  </si>
  <si>
    <t>施設利用規約改定</t>
    <phoneticPr fontId="3"/>
  </si>
  <si>
    <t>SYSTEM-2442</t>
    <phoneticPr fontId="3"/>
  </si>
  <si>
    <t>池袋東口店のチケット付替えで縛り期間が消失</t>
    <phoneticPr fontId="3"/>
  </si>
  <si>
    <t>SYSTEM-2493</t>
    <phoneticPr fontId="3"/>
  </si>
  <si>
    <t>和光市店閉店対応</t>
    <phoneticPr fontId="3"/>
  </si>
  <si>
    <t>グランドコンベンション用、LAVA会員向けアンケート作成依頼(PRG)</t>
    <phoneticPr fontId="3"/>
  </si>
  <si>
    <t>SYSTEM-2489</t>
    <phoneticPr fontId="3"/>
  </si>
  <si>
    <t>商標チェック対応</t>
    <phoneticPr fontId="3"/>
  </si>
  <si>
    <t>堺東アネックス店の利用性別表記＠各種システム</t>
    <phoneticPr fontId="3"/>
  </si>
  <si>
    <t>FY18-232</t>
    <phoneticPr fontId="3"/>
  </si>
  <si>
    <t>SYSTEM-2378</t>
    <phoneticPr fontId="3"/>
  </si>
  <si>
    <t>SYSTEM-2522</t>
    <phoneticPr fontId="3"/>
  </si>
  <si>
    <t>GW デイタイム会員様対応</t>
    <phoneticPr fontId="3"/>
  </si>
  <si>
    <t>SYSTEM-2568</t>
    <phoneticPr fontId="3"/>
  </si>
  <si>
    <t>SYSTEM-2383</t>
    <phoneticPr fontId="3"/>
  </si>
  <si>
    <t>堺東店閉店(19年3月31日)</t>
    <phoneticPr fontId="3"/>
  </si>
  <si>
    <t>LAVA Life Vol.31 アンケート設定のお願い</t>
    <phoneticPr fontId="3"/>
  </si>
  <si>
    <t>SYSTEM-2591</t>
    <phoneticPr fontId="3"/>
  </si>
  <si>
    <t>【予約専用ページ】MGMバナー差し替え依頼：2019年 5月分（マーケG）</t>
    <phoneticPr fontId="3"/>
  </si>
  <si>
    <t>MGM対応</t>
    <phoneticPr fontId="3"/>
  </si>
  <si>
    <t>FY18-148</t>
    <phoneticPr fontId="3"/>
  </si>
  <si>
    <t>Web入会の申込時の内容が後からお客様が確認できる</t>
    <phoneticPr fontId="3"/>
  </si>
  <si>
    <t>レスケ登録時に表示されるレッスンの表示順のカテゴリ化</t>
    <phoneticPr fontId="3"/>
  </si>
  <si>
    <t>WEB予約　デバイス別アクセスのログ</t>
    <phoneticPr fontId="3"/>
  </si>
  <si>
    <t>SYSTEM-2467</t>
    <phoneticPr fontId="3"/>
  </si>
  <si>
    <t>本部システムのグレード欄が変更しても未反映のままになる</t>
    <phoneticPr fontId="3"/>
  </si>
  <si>
    <t>FY18-196</t>
    <phoneticPr fontId="3"/>
  </si>
  <si>
    <t>INF-84</t>
    <phoneticPr fontId="3"/>
  </si>
  <si>
    <t>1-18CSアンケートのパターンエラーについて</t>
    <phoneticPr fontId="3"/>
  </si>
  <si>
    <t>WEBENTRY-13</t>
    <phoneticPr fontId="3"/>
  </si>
  <si>
    <t>前半申込で後半開始のお客様でもマイページに「★翌月スタート」と表示される</t>
    <phoneticPr fontId="3"/>
  </si>
  <si>
    <t>FY19-3</t>
    <phoneticPr fontId="3"/>
  </si>
  <si>
    <t>【運用改善】レスケシステム　マスターレッスンのレッスン名表記変更</t>
    <phoneticPr fontId="3"/>
  </si>
  <si>
    <t>【運用改善】予約状況表画面・予約状況表に担当IRの社員番号を表示させる</t>
    <phoneticPr fontId="3"/>
  </si>
  <si>
    <t>【運用改善】予約状況表画面での商品券・引換券の表示見直し</t>
    <phoneticPr fontId="3"/>
  </si>
  <si>
    <t>予約専用ページ：LINEバナー差し替えのご依頼（5月1日、5月15日、6月11日）</t>
    <phoneticPr fontId="3"/>
  </si>
  <si>
    <t>SYSTEM-2608</t>
    <phoneticPr fontId="3"/>
  </si>
  <si>
    <t>SYSTEM-2631</t>
    <phoneticPr fontId="3"/>
  </si>
  <si>
    <t>松戸店移転対応　値下げ＆永久割(既存会員含む)CP</t>
    <phoneticPr fontId="3"/>
  </si>
  <si>
    <t>WEBENTRY-16</t>
    <phoneticPr fontId="3"/>
  </si>
  <si>
    <t>FY19-31</t>
    <phoneticPr fontId="3"/>
  </si>
  <si>
    <t>【PRICE&amp;CP革命1.0】再体験対象者のラベル制御</t>
    <phoneticPr fontId="3"/>
  </si>
  <si>
    <t>FY19-19</t>
    <phoneticPr fontId="3"/>
  </si>
  <si>
    <t>WEBENTRY-41</t>
    <phoneticPr fontId="3"/>
  </si>
  <si>
    <t>オープン日未定店舗 本登録時に会員情報が正しく反映されない</t>
    <phoneticPr fontId="3"/>
  </si>
  <si>
    <t>プラン選択画面での店舗リストにオープン前店舗を表示させる。</t>
    <phoneticPr fontId="3"/>
  </si>
  <si>
    <t>WEBENTRY-17</t>
    <phoneticPr fontId="3"/>
  </si>
  <si>
    <t>SYSTEM-2724</t>
    <phoneticPr fontId="3"/>
  </si>
  <si>
    <t>出庫種別(stockStatus)の販促の定義変更について</t>
    <phoneticPr fontId="3"/>
  </si>
  <si>
    <t>login.htmlの体験レッスン予約のボタンのテキスト・及びリンク先変更</t>
    <phoneticPr fontId="3"/>
  </si>
  <si>
    <t>Web入会決済画面遷移時のエラー</t>
    <phoneticPr fontId="3"/>
  </si>
  <si>
    <t>INF-85</t>
    <phoneticPr fontId="3"/>
  </si>
  <si>
    <t>SYSTEM-2694</t>
    <phoneticPr fontId="3"/>
  </si>
  <si>
    <t>クレジット支払い時の文言の修正</t>
    <phoneticPr fontId="3"/>
  </si>
  <si>
    <t>FY19-41</t>
    <phoneticPr fontId="3"/>
  </si>
  <si>
    <t>翌月開始申込で体験の消化日と利用開始日が異なる</t>
    <phoneticPr fontId="3"/>
  </si>
  <si>
    <t>SYSTEM-2813</t>
    <phoneticPr fontId="3"/>
  </si>
  <si>
    <t>予約完了ページへの計測タグ埋め込み依頼</t>
    <phoneticPr fontId="3"/>
  </si>
  <si>
    <t>店頭入会でのMGM紹介者特典発行のタイミング変更</t>
    <phoneticPr fontId="3"/>
  </si>
  <si>
    <t>【運用改善】業務日報出力エラー（ReadTimeOut）解消</t>
    <phoneticPr fontId="3"/>
  </si>
  <si>
    <t>【PRICE&amp;CP】通い放題　20019年８月夏</t>
    <phoneticPr fontId="3"/>
  </si>
  <si>
    <t>【運用改善】1-12帳票システムエラー解消</t>
    <phoneticPr fontId="3"/>
  </si>
  <si>
    <t>【PRICE&amp;CP革命1.5】施設使用料2500円に変更</t>
    <phoneticPr fontId="3"/>
  </si>
  <si>
    <t>受講履歴の過去分表示について</t>
    <phoneticPr fontId="3"/>
  </si>
  <si>
    <t>申込店舗が本部となっている</t>
    <phoneticPr fontId="3"/>
  </si>
  <si>
    <t>SYSTEM-2792</t>
    <phoneticPr fontId="3"/>
  </si>
  <si>
    <t>SYSTEM-2804</t>
    <phoneticPr fontId="3"/>
  </si>
  <si>
    <t>【7/23迄依頼】9・10月Web入会スタッフMGM適用について</t>
    <phoneticPr fontId="3"/>
  </si>
  <si>
    <t>SYSTEM-2781</t>
    <phoneticPr fontId="3"/>
  </si>
  <si>
    <t>マイプラザ南富山店イベント応募フォーム作成依頼（プロモG）</t>
    <phoneticPr fontId="3"/>
  </si>
  <si>
    <t>SYSTEM-2847</t>
    <phoneticPr fontId="3"/>
  </si>
  <si>
    <t>店舗情報エクスポートエラー19/7/27</t>
    <phoneticPr fontId="3"/>
  </si>
  <si>
    <t>FY19-46</t>
    <phoneticPr fontId="3"/>
  </si>
  <si>
    <t>【運用改善】「業者からの納品」の「納品明細一覧」の【納品日付】を大きく表示</t>
    <phoneticPr fontId="3"/>
  </si>
  <si>
    <t>【運用改善】業務日報出力エラーを事業企画も把握したい</t>
    <phoneticPr fontId="3"/>
  </si>
  <si>
    <t>SYSTEM-2811</t>
    <phoneticPr fontId="3"/>
  </si>
  <si>
    <t>FY19-49</t>
    <phoneticPr fontId="3"/>
  </si>
  <si>
    <t>WEBENTRY-59</t>
    <phoneticPr fontId="3"/>
  </si>
  <si>
    <t>税抜価格の撤廃と永久割の注釈非表記、安心サポートの金額表記変更</t>
    <phoneticPr fontId="3"/>
  </si>
  <si>
    <t>FY19-65</t>
    <phoneticPr fontId="3"/>
  </si>
  <si>
    <t>PRICE&amp;CP革命1.5残課題対応</t>
    <phoneticPr fontId="3"/>
  </si>
  <si>
    <t>FY19-57</t>
    <phoneticPr fontId="3"/>
  </si>
  <si>
    <t>【運用改善】日次棚卸画面に裏スペース在庫欄を設けたい</t>
    <phoneticPr fontId="3"/>
  </si>
  <si>
    <t>FY19-58</t>
    <phoneticPr fontId="3"/>
  </si>
  <si>
    <t>FY19-61</t>
    <phoneticPr fontId="3"/>
  </si>
  <si>
    <t>FY19-59</t>
    <phoneticPr fontId="3"/>
  </si>
  <si>
    <t>SYSTEM-2869</t>
    <phoneticPr fontId="3"/>
  </si>
  <si>
    <t>【事推】MGM商品券発行方法（店頭/WEB）が知りたい</t>
    <phoneticPr fontId="3"/>
  </si>
  <si>
    <t>WEBENTRY-64</t>
    <phoneticPr fontId="3"/>
  </si>
  <si>
    <t>Web入会した会員の所有チケットの適用CPidの付替え</t>
    <phoneticPr fontId="3"/>
  </si>
  <si>
    <t>SYSTEM-2902</t>
    <phoneticPr fontId="3"/>
  </si>
  <si>
    <t>【依頼：8月中⇒9月調整】紹介者登録のシステム識別</t>
    <phoneticPr fontId="3"/>
  </si>
  <si>
    <t>SYSTEM-2887</t>
    <phoneticPr fontId="3"/>
  </si>
  <si>
    <t>【9月1日～】予約専用サイト新店MGMキャンペーンバナー出し分けのお願い</t>
    <phoneticPr fontId="3"/>
  </si>
  <si>
    <t>商品読替作業　９月から</t>
    <phoneticPr fontId="3"/>
  </si>
  <si>
    <t>SYSTEM-2835</t>
    <phoneticPr fontId="3"/>
  </si>
  <si>
    <t>FY19-66</t>
    <phoneticPr fontId="3"/>
  </si>
  <si>
    <t>【店ナビ】改修対応　Ver.1.2</t>
    <phoneticPr fontId="3"/>
  </si>
  <si>
    <t>ずっと割CP申込の金額を適用開始月基準で取得する</t>
    <phoneticPr fontId="3"/>
  </si>
  <si>
    <t>SYSTEM-2845</t>
    <phoneticPr fontId="3"/>
  </si>
  <si>
    <t>SYSTEM-2863</t>
    <phoneticPr fontId="3"/>
  </si>
  <si>
    <t>予約システムのレスケカレンダーでは特別レッスンに「詳細」ボタンが出ない。</t>
    <phoneticPr fontId="3"/>
  </si>
  <si>
    <t>DDOC-170</t>
    <phoneticPr fontId="3"/>
  </si>
  <si>
    <t>復会変更 プラス1店舗のチェックが走っている</t>
    <phoneticPr fontId="3"/>
  </si>
  <si>
    <t>FY19-44</t>
    <phoneticPr fontId="3"/>
  </si>
  <si>
    <t>SYSTEM-2945</t>
    <phoneticPr fontId="3"/>
  </si>
  <si>
    <t>FY19-51</t>
    <phoneticPr fontId="3"/>
  </si>
  <si>
    <t>SYSTEM-2932</t>
    <phoneticPr fontId="3"/>
  </si>
  <si>
    <t>SYSTEM-2950</t>
    <phoneticPr fontId="3"/>
  </si>
  <si>
    <t>【増税対応】特別料金レッスンについて10月から価格変更する旨、表示させたい</t>
    <phoneticPr fontId="3"/>
  </si>
  <si>
    <t>SYSTEM-2963</t>
    <phoneticPr fontId="3"/>
  </si>
  <si>
    <t>内定者登録バッチの改修</t>
    <phoneticPr fontId="3"/>
  </si>
  <si>
    <t>FY19-16</t>
    <phoneticPr fontId="3"/>
  </si>
  <si>
    <t>DDOC-168</t>
    <phoneticPr fontId="3"/>
  </si>
  <si>
    <t>解約アンケート　閲覧不可</t>
    <phoneticPr fontId="3"/>
  </si>
  <si>
    <t>メルシー権利導入</t>
    <phoneticPr fontId="3"/>
  </si>
  <si>
    <t>WEBENTRY-54</t>
    <phoneticPr fontId="3"/>
  </si>
  <si>
    <t>沼津店、市原更級店のみ増税前価格(メルシー)でWeb入会をさせたい</t>
    <phoneticPr fontId="3"/>
  </si>
  <si>
    <t>7月消化処理の1回券の有効期限が8月になっている件について</t>
    <phoneticPr fontId="3"/>
  </si>
  <si>
    <t>WEBENTRY-73</t>
    <phoneticPr fontId="3"/>
  </si>
  <si>
    <t>事前確認画面文言変更依頼</t>
    <phoneticPr fontId="3"/>
  </si>
  <si>
    <t>解約金を店舗・CCで自動計算できるシステムを開発してほしい（プロモG）</t>
    <phoneticPr fontId="3"/>
  </si>
  <si>
    <t>DDOC-167</t>
    <phoneticPr fontId="3"/>
  </si>
  <si>
    <t>FY19-116</t>
    <phoneticPr fontId="3"/>
  </si>
  <si>
    <t>【帳票1-4・1-13】MGM紹介件数を帳票に追加していただきたい</t>
    <phoneticPr fontId="3"/>
  </si>
  <si>
    <t>フロントシステムでのレッスン中止履歴のメール表記</t>
    <phoneticPr fontId="3"/>
  </si>
  <si>
    <t>SYSTEM-3003</t>
    <phoneticPr fontId="3"/>
  </si>
  <si>
    <t>SYSTEM-3060</t>
    <phoneticPr fontId="3"/>
  </si>
  <si>
    <t>HR　スタッフ情報CSV入力</t>
    <phoneticPr fontId="3"/>
  </si>
  <si>
    <t>ずっと割りメンテナンス対応</t>
    <phoneticPr fontId="3"/>
  </si>
  <si>
    <t>SYSTEM-3052</t>
    <phoneticPr fontId="3"/>
  </si>
  <si>
    <t>Evolv移行データ登録</t>
    <phoneticPr fontId="3"/>
  </si>
  <si>
    <t>メルシー割引会員の休会申請について</t>
    <phoneticPr fontId="3"/>
  </si>
  <si>
    <t>WEBENTRY-80</t>
    <phoneticPr fontId="3"/>
  </si>
  <si>
    <t>FY19-113</t>
    <phoneticPr fontId="3"/>
  </si>
  <si>
    <t>【運用改善】業者発注書のレコードNoを変えたい</t>
    <phoneticPr fontId="3"/>
  </si>
  <si>
    <t>SYSTEM-3054</t>
    <phoneticPr fontId="3"/>
  </si>
  <si>
    <t>【FOE】受講処理の自動化</t>
    <phoneticPr fontId="3"/>
  </si>
  <si>
    <t>SYSTEM-3062</t>
    <phoneticPr fontId="3"/>
  </si>
  <si>
    <t>新卒応募者対応の実装追加</t>
    <phoneticPr fontId="3"/>
  </si>
  <si>
    <t>【予約サイト遅延対応】reserveから全件検索(11/7採取)</t>
    <phoneticPr fontId="3"/>
  </si>
  <si>
    <t>各Web入会プランのコース文言の変更</t>
    <phoneticPr fontId="3"/>
  </si>
  <si>
    <t xml:space="preserve">帳票『8月次一覧表読込用』の物販売上の修正について </t>
    <phoneticPr fontId="3"/>
  </si>
  <si>
    <t>HELPDESK-10989</t>
    <phoneticPr fontId="3"/>
  </si>
  <si>
    <t>予約キャンセルについての問い合わせの件 （大和アネックス）</t>
    <phoneticPr fontId="3"/>
  </si>
  <si>
    <t>SYSTEM-3089</t>
    <phoneticPr fontId="3"/>
  </si>
  <si>
    <t xml:space="preserve">【帳票】MGM紹介者数算出方法の変更 </t>
    <phoneticPr fontId="3"/>
  </si>
  <si>
    <t>時間外キャンセル（旧無断キャンセル）メール　誤字修正依頼</t>
    <phoneticPr fontId="3"/>
  </si>
  <si>
    <t>SYSTEM-3121</t>
    <phoneticPr fontId="3"/>
  </si>
  <si>
    <t>予約専用ページ：DELIGHTバナー追加のご依頼（1125公開）</t>
    <phoneticPr fontId="3"/>
  </si>
  <si>
    <t>SYSTEM-3109</t>
    <phoneticPr fontId="3"/>
  </si>
  <si>
    <t>SYSTEM-3262</t>
    <phoneticPr fontId="3"/>
  </si>
  <si>
    <t>FY19-137</t>
    <phoneticPr fontId="3"/>
  </si>
  <si>
    <t>WEBENTRY-85</t>
    <phoneticPr fontId="3"/>
  </si>
  <si>
    <t>予約受講管理にてMGM紹介者リンク押下時にAjaxError! status[500] エラー発生</t>
    <phoneticPr fontId="3"/>
  </si>
  <si>
    <t>予約専用ページ：YOGA DELIGHTバナー差し替えのお願い</t>
    <phoneticPr fontId="3"/>
  </si>
  <si>
    <t>SYSTEM-3281</t>
    <phoneticPr fontId="3"/>
  </si>
  <si>
    <t>予約専用ページ：Lapreバナー差し替えのお願い</t>
    <phoneticPr fontId="3"/>
  </si>
  <si>
    <t>SYSTEM-3190</t>
    <phoneticPr fontId="3"/>
  </si>
  <si>
    <t>マシンピラティス　予約画面への注意事項掲載</t>
    <phoneticPr fontId="3"/>
  </si>
  <si>
    <t>SYSTEM-3224</t>
    <phoneticPr fontId="3"/>
  </si>
  <si>
    <t>SYSTEM-3207</t>
    <phoneticPr fontId="3"/>
  </si>
  <si>
    <t>FY19-96</t>
    <phoneticPr fontId="3"/>
  </si>
  <si>
    <t>縛り期間延長者の合算請求障害</t>
    <phoneticPr fontId="3"/>
  </si>
  <si>
    <t>商品ポイント設定</t>
    <phoneticPr fontId="3"/>
  </si>
  <si>
    <t>FY19-139</t>
    <phoneticPr fontId="3"/>
  </si>
  <si>
    <t>フロントのスタンプラリーを過去分もみれるようにする</t>
    <phoneticPr fontId="3"/>
  </si>
  <si>
    <t>SYSTEM-3394</t>
    <phoneticPr fontId="3"/>
  </si>
  <si>
    <t>【アプリ】ヨガ活の特典が２回発行される。</t>
    <phoneticPr fontId="3"/>
  </si>
  <si>
    <t>【仕様確認】ポイントのマイナス処理に関して</t>
    <phoneticPr fontId="3"/>
  </si>
  <si>
    <t>EMAIL-20</t>
    <phoneticPr fontId="3"/>
  </si>
  <si>
    <t>DDOC-175</t>
    <phoneticPr fontId="3"/>
  </si>
  <si>
    <t>スマホ版の体験予約で成城学園前店のBスタのレッスンがAスタと表示される</t>
    <phoneticPr fontId="3"/>
  </si>
  <si>
    <t>SYSTEM-3340</t>
    <phoneticPr fontId="3"/>
  </si>
  <si>
    <t>2収入集計　月末振替返金　金額不一致</t>
    <phoneticPr fontId="3"/>
  </si>
  <si>
    <t>202001適用の解約変更申請適用バッチ(lava-monthly-change)がエラー終了</t>
    <phoneticPr fontId="3"/>
  </si>
  <si>
    <t>変更申請を上げた際にずっと割の適用が外れる</t>
    <phoneticPr fontId="3"/>
  </si>
  <si>
    <t>SYSTEM-3377</t>
    <phoneticPr fontId="3"/>
  </si>
  <si>
    <t>EMAIL-21</t>
    <phoneticPr fontId="3"/>
  </si>
  <si>
    <t>SYSTEM-3408</t>
    <phoneticPr fontId="3"/>
  </si>
  <si>
    <t>仕様確認のお願い 【有効期限切れチケット消化バッチ 受講漏れ受講処理】スタンプ付与について</t>
    <phoneticPr fontId="3"/>
  </si>
  <si>
    <t>【依頼】ポイント再発行のお願い(西友鳴海)</t>
    <phoneticPr fontId="3"/>
  </si>
  <si>
    <t>SYSTEM-3191</t>
    <phoneticPr fontId="3"/>
  </si>
  <si>
    <t>アプリeventログ出力先の変更</t>
    <phoneticPr fontId="3"/>
  </si>
  <si>
    <t>レッスン検索(lesson_search_history)について(更新ストップの依頼)</t>
    <phoneticPr fontId="3"/>
  </si>
  <si>
    <t>SYSTEM-3400</t>
    <phoneticPr fontId="3"/>
  </si>
  <si>
    <t>予約専用ページ＆予約完了ページ：YOGA DELIGHTバナー【リンク先変更】のお願い（124）</t>
    <phoneticPr fontId="3"/>
  </si>
  <si>
    <t>SYSTEM-3397</t>
    <phoneticPr fontId="3"/>
  </si>
  <si>
    <t>予約専用ページ：LAVAFESTALIFEバナー追加のご依頼</t>
    <phoneticPr fontId="3"/>
  </si>
  <si>
    <t>FY19-156</t>
    <phoneticPr fontId="3"/>
  </si>
  <si>
    <t>LAVAAPR-180</t>
    <phoneticPr fontId="3"/>
  </si>
  <si>
    <t>【02-001】会員証　契約期間が全員10月1日～になっている</t>
    <phoneticPr fontId="3"/>
  </si>
  <si>
    <t>SYSTEM-3483</t>
    <phoneticPr fontId="3"/>
  </si>
  <si>
    <t>障害改修　【台紙付与バッチ】台紙付与リカバリーでの使用について</t>
    <phoneticPr fontId="3"/>
  </si>
  <si>
    <t>【スタンプ】特別招待券での受講時のスタンプ押下について</t>
    <phoneticPr fontId="3"/>
  </si>
  <si>
    <t>WEBENTRY-102</t>
    <phoneticPr fontId="3"/>
  </si>
  <si>
    <t>FY19-157</t>
    <phoneticPr fontId="3"/>
  </si>
  <si>
    <t>POSシステム　MGM・引換券発行で発行した特典の削除時にポイントデータを論理削除する</t>
    <phoneticPr fontId="3"/>
  </si>
  <si>
    <t>アプリで予約しようとすると【レッスン内容が変更されている為、予約できません】と表示される</t>
    <phoneticPr fontId="3"/>
  </si>
  <si>
    <t>SYSTEM-3353</t>
    <phoneticPr fontId="3"/>
  </si>
  <si>
    <t>障害改修　【スタンプラリ】POSメンテ実施後のスタンプ遡及で、不要な特典が付与される</t>
    <phoneticPr fontId="3"/>
  </si>
  <si>
    <t>SYSTEM-3453</t>
    <phoneticPr fontId="3"/>
  </si>
  <si>
    <t>LF、M4プランのオプションマンスリー利用店舗が個店名になっている</t>
    <phoneticPr fontId="3"/>
  </si>
  <si>
    <t>1-1帳票　不要POS区分の削除対応（POS区分＝商品券）</t>
    <phoneticPr fontId="3"/>
  </si>
  <si>
    <t>HELPDESK-12524</t>
    <phoneticPr fontId="3"/>
  </si>
  <si>
    <t>APPのスタンプラリーについて （新浦安）</t>
    <phoneticPr fontId="3"/>
  </si>
  <si>
    <t>SYSTEM-3457</t>
    <phoneticPr fontId="3"/>
  </si>
  <si>
    <t>SYSTEM-3454</t>
    <phoneticPr fontId="3"/>
  </si>
  <si>
    <t>1-15帳票　メイン店舗の取得不正</t>
    <phoneticPr fontId="3"/>
  </si>
  <si>
    <t>SYSTEM-3448</t>
    <phoneticPr fontId="3"/>
  </si>
  <si>
    <t>3在庫管理表出力不備（数式が長すぎる）_20200204</t>
    <phoneticPr fontId="3"/>
  </si>
  <si>
    <t>SYSTEM-3460</t>
    <phoneticPr fontId="3"/>
  </si>
  <si>
    <t>HELPDESK-11897</t>
    <phoneticPr fontId="3"/>
  </si>
  <si>
    <t>SYSTEM-3501</t>
    <phoneticPr fontId="3"/>
  </si>
  <si>
    <t>【調査依頼】mgm_introduction_giftテーブルを更新するモジュールの洗いだし</t>
    <phoneticPr fontId="3"/>
  </si>
  <si>
    <t>HELPDESK-12765</t>
    <phoneticPr fontId="3"/>
  </si>
  <si>
    <t>HELPDESK-12902</t>
    <phoneticPr fontId="3"/>
  </si>
  <si>
    <t>FY19-14</t>
    <phoneticPr fontId="3"/>
  </si>
  <si>
    <t>DDOC-176</t>
    <phoneticPr fontId="3"/>
  </si>
  <si>
    <t>SYSTEM-3512</t>
    <phoneticPr fontId="3"/>
  </si>
  <si>
    <t>予約専用ページ＆予約完了ページ：YOGA DELIGHTバナー【画像差し替え】のお願い（31）</t>
    <phoneticPr fontId="3"/>
  </si>
  <si>
    <t>フロントシステム操作時のエラー画面[ESSR0059]プロパティ(password)の設定に失敗しました。</t>
    <phoneticPr fontId="3"/>
  </si>
  <si>
    <t>【修正】WEB入会関連メール</t>
    <phoneticPr fontId="3"/>
  </si>
  <si>
    <t>SYSTEM-3571</t>
    <phoneticPr fontId="3"/>
  </si>
  <si>
    <t>溝の口プライム店・立川南口店の店舗選択からの削除</t>
    <phoneticPr fontId="3"/>
  </si>
  <si>
    <t>売上金返金の削除制限追加</t>
    <phoneticPr fontId="3"/>
  </si>
  <si>
    <t>WEBENTRY-105</t>
    <phoneticPr fontId="3"/>
  </si>
  <si>
    <t>1-7返金帳票改修</t>
    <phoneticPr fontId="3"/>
  </si>
  <si>
    <t>オンプレバッチAWS移行FY19②（60サーバ系）</t>
    <phoneticPr fontId="3"/>
  </si>
  <si>
    <t>SYSTEM-2599</t>
    <phoneticPr fontId="3"/>
  </si>
  <si>
    <t>CCお問合せメールアドレスの直書きを修正したい</t>
    <phoneticPr fontId="3"/>
  </si>
  <si>
    <t>SYSTEM-3626</t>
    <phoneticPr fontId="3"/>
  </si>
  <si>
    <t>SYSTEM-3575</t>
    <phoneticPr fontId="3"/>
  </si>
  <si>
    <t>SYSTEM-3517</t>
    <phoneticPr fontId="3"/>
  </si>
  <si>
    <t>予約専用ページ：MGMバナー出し分けのご依頼</t>
    <phoneticPr fontId="3"/>
  </si>
  <si>
    <t>SYSTEM-3553</t>
    <phoneticPr fontId="3"/>
  </si>
  <si>
    <t>DELIGHT、FESTA LIFEバナーの削除</t>
    <phoneticPr fontId="3"/>
  </si>
  <si>
    <t>OPマンスリー解約時にアラートが表示される</t>
    <phoneticPr fontId="3"/>
  </si>
  <si>
    <t>SYSTEM-3614</t>
    <phoneticPr fontId="3"/>
  </si>
  <si>
    <t>アプリ│バナー差替依頼（200321）</t>
    <phoneticPr fontId="3"/>
  </si>
  <si>
    <t>FY19-52</t>
    <phoneticPr fontId="3"/>
  </si>
  <si>
    <t>FY19-186</t>
    <phoneticPr fontId="3"/>
  </si>
  <si>
    <t>SYSTEM-3567</t>
    <phoneticPr fontId="3"/>
  </si>
  <si>
    <t>アンケート　リンク追加</t>
    <phoneticPr fontId="3"/>
  </si>
  <si>
    <t>SYSTEM-3549</t>
    <phoneticPr fontId="3"/>
  </si>
  <si>
    <t>レッスン変更・中止のレッスン予約時の不備（他、派生障害あり</t>
    <phoneticPr fontId="3"/>
  </si>
  <si>
    <t xml:space="preserve">予約受付中止フラグが「2:中止」でも予約が取れる </t>
    <phoneticPr fontId="3"/>
  </si>
  <si>
    <t>スタッフ紹介ページが更新されない</t>
    <phoneticPr fontId="3"/>
  </si>
  <si>
    <t>FY19-188</t>
    <phoneticPr fontId="3"/>
  </si>
  <si>
    <t>アプリ│バナー差替依頼（200314）</t>
    <phoneticPr fontId="3"/>
  </si>
  <si>
    <t>SYSTEM-3610</t>
    <phoneticPr fontId="3"/>
  </si>
  <si>
    <t>予約専用ページ：MGMバナー出し分けのご依頼（323)</t>
    <phoneticPr fontId="3"/>
  </si>
  <si>
    <t>予約専用ページ：LOSバナー【画像差し替え】のお願い（323）</t>
    <phoneticPr fontId="3"/>
  </si>
  <si>
    <t>SYSTEM-3603</t>
    <phoneticPr fontId="3"/>
  </si>
  <si>
    <t>アプリ　YOGADELIGHTバナー依頼</t>
    <phoneticPr fontId="3"/>
  </si>
  <si>
    <t>WEBENTRY-107</t>
    <phoneticPr fontId="3"/>
  </si>
  <si>
    <t>SYSTEM-3358</t>
    <phoneticPr fontId="3"/>
  </si>
  <si>
    <t>EMAIL-28</t>
    <phoneticPr fontId="3"/>
  </si>
  <si>
    <t>2020年5月　グレード変更（値下げ）</t>
    <phoneticPr fontId="3"/>
  </si>
  <si>
    <t>WEBENTRY-115</t>
    <phoneticPr fontId="3"/>
  </si>
  <si>
    <t>3月31日23時以降に申し込むと所有チケットが2セットとなる</t>
    <phoneticPr fontId="3"/>
  </si>
  <si>
    <t>返金申請フォーム画面</t>
    <phoneticPr fontId="3"/>
  </si>
  <si>
    <t>返金額確定機能（店舗フロント）</t>
    <phoneticPr fontId="3"/>
  </si>
  <si>
    <t>FY19-207</t>
    <phoneticPr fontId="3"/>
  </si>
  <si>
    <t>返金対象者メール送信バッチ</t>
    <phoneticPr fontId="3"/>
  </si>
  <si>
    <t>返金口座情報入力フォーム画面</t>
    <phoneticPr fontId="3"/>
  </si>
  <si>
    <t>重複決済している人がいる</t>
    <phoneticPr fontId="3"/>
  </si>
  <si>
    <t>WEBENTRY-119</t>
    <phoneticPr fontId="3"/>
  </si>
  <si>
    <t>決済日時、キャンセル日時の取得変更</t>
    <phoneticPr fontId="3"/>
  </si>
  <si>
    <t>【アプリ】Lapreへの遷移時に初回ログインが必要</t>
    <phoneticPr fontId="3"/>
  </si>
  <si>
    <t>SYSTEM-3582</t>
    <phoneticPr fontId="3"/>
  </si>
  <si>
    <t>SYSTEM-3659</t>
    <phoneticPr fontId="3"/>
  </si>
  <si>
    <t>月初の1日0時から3時過ぎまでLapreにログインできない</t>
    <phoneticPr fontId="3"/>
  </si>
  <si>
    <t>2020年5月、6月店舗閉店・統合</t>
    <phoneticPr fontId="3"/>
  </si>
  <si>
    <t>FY19-202</t>
    <phoneticPr fontId="3"/>
  </si>
  <si>
    <t>SYSTEM-3679</t>
    <phoneticPr fontId="3"/>
  </si>
  <si>
    <t>SYSTEM-3748</t>
    <phoneticPr fontId="3"/>
  </si>
  <si>
    <t>【コロナ対応】返金口座入力フォームの作成</t>
    <phoneticPr fontId="3"/>
  </si>
  <si>
    <t>SYSTEM-3804</t>
    <phoneticPr fontId="3"/>
  </si>
  <si>
    <t>FY19-229</t>
    <phoneticPr fontId="3"/>
  </si>
  <si>
    <t>FY19-230</t>
    <phoneticPr fontId="3"/>
  </si>
  <si>
    <t>アプリのメンテナンスポップアップが表示されない</t>
    <phoneticPr fontId="3"/>
  </si>
  <si>
    <t>SYSTEM-3716</t>
    <phoneticPr fontId="3"/>
  </si>
  <si>
    <t>SYSTEM-3928</t>
    <phoneticPr fontId="3"/>
  </si>
  <si>
    <t>『1-15LOS物販』、『1-17LOSその他』に注文日を追加したい。</t>
    <phoneticPr fontId="3"/>
  </si>
  <si>
    <t>【動画配信】動画ファイルをlava-movieモジュールと分離する</t>
    <phoneticPr fontId="3"/>
  </si>
  <si>
    <t>予約専用ページ：セルフチェックインバナー【設置】のお願い（7/31）</t>
    <phoneticPr fontId="3"/>
  </si>
  <si>
    <t>SYSTEM-3998</t>
    <phoneticPr fontId="3"/>
  </si>
  <si>
    <t>【コロナ対応】WEB予約画面の注釈変更</t>
    <phoneticPr fontId="3"/>
  </si>
  <si>
    <t>返金額確定機能閉鎖（店舗フロント）</t>
    <phoneticPr fontId="3"/>
  </si>
  <si>
    <t>【コロナ対応】旧解約金テーブル個別対応フラグを上限数無しで登録できるようにする</t>
    <phoneticPr fontId="3"/>
  </si>
  <si>
    <t>縛りが終了している人も個別フラグポップアップが表示されてしまう</t>
    <phoneticPr fontId="3"/>
  </si>
  <si>
    <t>FY19-271</t>
    <phoneticPr fontId="3"/>
  </si>
  <si>
    <t>MGMバナー切り替え</t>
    <phoneticPr fontId="3"/>
  </si>
  <si>
    <t>解約金返金確認プログラム削除</t>
    <phoneticPr fontId="3"/>
  </si>
  <si>
    <t>SYSTEM-4099</t>
    <phoneticPr fontId="3"/>
  </si>
  <si>
    <t>新規枠を開けたい（ラパーク成東）</t>
    <phoneticPr fontId="3"/>
  </si>
  <si>
    <t>アプリ│バナー追加依頼（200902）</t>
    <phoneticPr fontId="3"/>
  </si>
  <si>
    <t>HELPDESK-11714</t>
    <phoneticPr fontId="3"/>
  </si>
  <si>
    <t xml:space="preserve">すでにレッスンが中止されています（巣鴨） </t>
    <phoneticPr fontId="3"/>
  </si>
  <si>
    <t xml:space="preserve">本日のレッスンが昨日受講処理されている(月島店) </t>
    <phoneticPr fontId="3"/>
  </si>
  <si>
    <t>SYSTEM-4065</t>
    <phoneticPr fontId="3"/>
  </si>
  <si>
    <t xml:space="preserve">ポイント利用について（宝塚店） </t>
    <phoneticPr fontId="3"/>
  </si>
  <si>
    <t>　 WEB入会完了画面の修正（アプリ導入）</t>
    <phoneticPr fontId="3"/>
  </si>
  <si>
    <t>SYSTEM-4151</t>
    <phoneticPr fontId="3"/>
  </si>
  <si>
    <t>アプリ│バナー追加依頼（200912）</t>
    <phoneticPr fontId="3"/>
  </si>
  <si>
    <t>SYSTEM-4154</t>
    <phoneticPr fontId="3"/>
  </si>
  <si>
    <t>イベントチケットの一括消化・予約キャンセル(岸和田カンカンベイサイドモール店)</t>
    <phoneticPr fontId="3"/>
  </si>
  <si>
    <t>SYSTEM-4125</t>
    <phoneticPr fontId="3"/>
  </si>
  <si>
    <t>SYSTEM-4222</t>
    <phoneticPr fontId="3"/>
  </si>
  <si>
    <t>【調査依頼】ポイント「マイナス処理」の理由</t>
    <phoneticPr fontId="3"/>
  </si>
  <si>
    <t>FY19-274</t>
    <phoneticPr fontId="3"/>
  </si>
  <si>
    <t>途中解約金ポップアップの表示条件変更経緯調査</t>
    <phoneticPr fontId="3"/>
  </si>
  <si>
    <t>FY19-183</t>
    <phoneticPr fontId="3"/>
  </si>
  <si>
    <t>【運用改善】定期発注バッチタスク実行</t>
    <phoneticPr fontId="3"/>
  </si>
  <si>
    <t>レッスンチャレンジ期間延長</t>
    <phoneticPr fontId="3"/>
  </si>
  <si>
    <t>SYSTEM-4016</t>
    <phoneticPr fontId="3"/>
  </si>
  <si>
    <t>物理削除されるテーブルの調査</t>
    <phoneticPr fontId="3"/>
  </si>
  <si>
    <t>SYSTEM-4133</t>
    <phoneticPr fontId="3"/>
  </si>
  <si>
    <t>【障害】レシートの有効ポイント表示について</t>
    <phoneticPr fontId="3"/>
  </si>
  <si>
    <t>予約専用ページ：FIRSTSHIPバナー【画像差し替え】のお願い（10/1）</t>
    <phoneticPr fontId="3"/>
  </si>
  <si>
    <t>体験予約完了メール本文変更の検討</t>
    <phoneticPr fontId="3"/>
  </si>
  <si>
    <t>【障害】LapreからWeb予約システムへ遷移しようとすると認証エラーとなる</t>
    <phoneticPr fontId="3"/>
  </si>
  <si>
    <t>アプリ│バナー更新依頼（201013）</t>
    <phoneticPr fontId="3"/>
  </si>
  <si>
    <t>物販オプションマンスリー</t>
    <phoneticPr fontId="3"/>
  </si>
  <si>
    <t>Lapreのログイン後の遷移を変更したURL生成のお願い</t>
    <phoneticPr fontId="3"/>
  </si>
  <si>
    <t>申請状況確認画面10月引落し額表示</t>
    <phoneticPr fontId="3"/>
  </si>
  <si>
    <t>WEBENTRY-144</t>
    <phoneticPr fontId="3"/>
  </si>
  <si>
    <t>岡崎店のWEB入会受付中止について</t>
    <phoneticPr fontId="3"/>
  </si>
  <si>
    <t>SYSTEM-4385</t>
    <phoneticPr fontId="3"/>
  </si>
  <si>
    <t>SYSTEM-4055</t>
    <phoneticPr fontId="3"/>
  </si>
  <si>
    <t>SYSTEM-3554</t>
    <phoneticPr fontId="3"/>
  </si>
  <si>
    <t xml:space="preserve">障害改修　スタンプ遡及対象者テーブルの更新誤り </t>
    <phoneticPr fontId="3"/>
  </si>
  <si>
    <t xml:space="preserve">PG改修検討対象のSQL </t>
    <phoneticPr fontId="3"/>
  </si>
  <si>
    <t>SYSTEM-4219</t>
    <phoneticPr fontId="3"/>
  </si>
  <si>
    <t>HELPDESK-15703</t>
    <phoneticPr fontId="3"/>
  </si>
  <si>
    <t>M4のお客様で5回目のレッスン受講で受講サンクスメールが送付されていない（CC：豆崎さん）</t>
    <phoneticPr fontId="3"/>
  </si>
  <si>
    <t>SYSTEM-4236</t>
    <phoneticPr fontId="3"/>
  </si>
  <si>
    <t>SYSTEM-4148</t>
    <phoneticPr fontId="3"/>
  </si>
  <si>
    <t>【障害】SV承認済差額返金者の一部に口座ご案内メールが送信されていなかった</t>
    <phoneticPr fontId="3"/>
  </si>
  <si>
    <t>SYSTEM-4416</t>
    <phoneticPr fontId="3"/>
  </si>
  <si>
    <t>SYSTEM-4415</t>
    <phoneticPr fontId="3"/>
  </si>
  <si>
    <t>口座入力フォームプログラム削除</t>
    <phoneticPr fontId="3"/>
  </si>
  <si>
    <t>WEBENTRY-146 新規なのに決済なし、店舗に存在しないプランで入会</t>
    <phoneticPr fontId="3"/>
  </si>
  <si>
    <t>FY19-290</t>
    <phoneticPr fontId="3"/>
  </si>
  <si>
    <t>LAVAAPR-274</t>
    <phoneticPr fontId="3"/>
  </si>
  <si>
    <t>レッスンチャレンジに関して</t>
    <phoneticPr fontId="3"/>
  </si>
  <si>
    <t>SYSTEM-4437</t>
    <phoneticPr fontId="3"/>
  </si>
  <si>
    <t>タブレット施設利用同意画面のきっかけ項目の追加</t>
    <phoneticPr fontId="3"/>
  </si>
  <si>
    <t>INF-106</t>
    <phoneticPr fontId="3"/>
  </si>
  <si>
    <t>有効期限切れポイント消化バッチの処理タイミング</t>
    <phoneticPr fontId="3"/>
  </si>
  <si>
    <t>SYSTEM-4088</t>
    <phoneticPr fontId="3"/>
  </si>
  <si>
    <t>アプリ│バナー更新・下げ依頼（201120）</t>
    <phoneticPr fontId="3"/>
  </si>
  <si>
    <t>SYSTEM-4463</t>
    <phoneticPr fontId="3"/>
  </si>
  <si>
    <t>予約専用ページ：LOSバナー【画像差し替え】のお願い（11/24）</t>
    <phoneticPr fontId="3"/>
  </si>
  <si>
    <t>SYSTEM-4467</t>
    <phoneticPr fontId="3"/>
  </si>
  <si>
    <t>WEBENTRY-149</t>
    <phoneticPr fontId="3"/>
  </si>
  <si>
    <t>Web入会申し込みでエラーが発生したがクレジット会社から決済の連絡がきた</t>
    <phoneticPr fontId="3"/>
  </si>
  <si>
    <t>SYSTEM-4455</t>
    <phoneticPr fontId="3"/>
  </si>
  <si>
    <t xml:space="preserve">【LINE】APIにてURIが不正な状態で返却される。 </t>
    <phoneticPr fontId="3"/>
  </si>
  <si>
    <t>期限切れ消化バッチがメモリ不足</t>
    <phoneticPr fontId="3"/>
  </si>
  <si>
    <t>後日入会（3月体験、4月入会）のお客様のMGMのポイント付与額が違う</t>
    <phoneticPr fontId="3"/>
  </si>
  <si>
    <t>うちヨガバナーの復活</t>
    <phoneticPr fontId="3"/>
  </si>
  <si>
    <t>FY19-285</t>
    <phoneticPr fontId="3"/>
  </si>
  <si>
    <t>体験予約完了画面にバナー追加</t>
    <phoneticPr fontId="3"/>
  </si>
  <si>
    <t>SYSTEM-4414</t>
    <phoneticPr fontId="3"/>
  </si>
  <si>
    <t xml:space="preserve">特典一括発行バッチのポイント付与区分設定の修正 </t>
    <phoneticPr fontId="3"/>
  </si>
  <si>
    <t>SYSTEM-4479</t>
    <phoneticPr fontId="3"/>
  </si>
  <si>
    <t>SYSTEM-4492</t>
    <phoneticPr fontId="3"/>
  </si>
  <si>
    <t>予約専用ページ：年末年始MGMバナー切り替えのご相談（12/7)</t>
    <phoneticPr fontId="3"/>
  </si>
  <si>
    <t>アプリ│バナー更新依頼（210105）</t>
    <phoneticPr fontId="3"/>
  </si>
  <si>
    <t>SYSTEM-4518</t>
    <phoneticPr fontId="3"/>
  </si>
  <si>
    <t>【障害】次回期限切れ実行までにポイント付与がある場合、切れるべきポイントが切れない</t>
    <phoneticPr fontId="3"/>
  </si>
  <si>
    <t>SYSTEM-4261</t>
    <phoneticPr fontId="3"/>
  </si>
  <si>
    <t>【改善】レスケシステム(レッスンフィー区分の区分追加）</t>
    <phoneticPr fontId="3"/>
  </si>
  <si>
    <t>SYSTEM-4513</t>
    <phoneticPr fontId="3"/>
  </si>
  <si>
    <t>口座名義に「)」が入力できない</t>
    <phoneticPr fontId="3"/>
  </si>
  <si>
    <t>WEBENTRY-150</t>
    <phoneticPr fontId="3"/>
  </si>
  <si>
    <t>新宿西口店の新規受付を停止</t>
    <phoneticPr fontId="3"/>
  </si>
  <si>
    <t>SYSTEM-4519</t>
    <phoneticPr fontId="3"/>
  </si>
  <si>
    <t>SYSTEM-4541</t>
    <phoneticPr fontId="3"/>
  </si>
  <si>
    <t>予約専用ページ：採用バナー【画像差し替え】のお願い（12/18）</t>
    <phoneticPr fontId="3"/>
  </si>
  <si>
    <t>WEB休会フォーム受付</t>
    <phoneticPr fontId="3"/>
  </si>
  <si>
    <t>SYSTEM-4546</t>
    <phoneticPr fontId="3"/>
  </si>
  <si>
    <t>【新規】在庫出庫時の分類法の改修検討</t>
    <phoneticPr fontId="3"/>
  </si>
  <si>
    <t xml:space="preserve"> 【障害】店舗作成の特別レッスンにアプリ用の短縮名称「SP」が設定されていない</t>
    <phoneticPr fontId="3"/>
  </si>
  <si>
    <t>SYSTEM-4535</t>
    <phoneticPr fontId="3"/>
  </si>
  <si>
    <t>アプリ│バナー更新依頼（210201）</t>
    <phoneticPr fontId="3"/>
  </si>
  <si>
    <t>SYSTEM-4591</t>
    <phoneticPr fontId="3"/>
  </si>
  <si>
    <t>アプリ│バナー更新依頼（210203）</t>
    <phoneticPr fontId="3"/>
  </si>
  <si>
    <t>SYSTEM-4586</t>
    <phoneticPr fontId="3"/>
  </si>
  <si>
    <t>予約専用ページ：LOSバナー【画像差し替え】のお願い（1/21）</t>
    <phoneticPr fontId="3"/>
  </si>
  <si>
    <t>SYSTEM-4605</t>
    <phoneticPr fontId="3"/>
  </si>
  <si>
    <t>SYSTEM-4556</t>
    <phoneticPr fontId="3"/>
  </si>
  <si>
    <t>【閉店統合】調布東口店⇒調布南口店(21年2末) 店舗選択非表示対応</t>
    <phoneticPr fontId="3"/>
  </si>
  <si>
    <t>SYSTEM-3687</t>
    <phoneticPr fontId="3"/>
  </si>
  <si>
    <t>【確認依頼】予約サイトで毎日起こっているエラーに関して</t>
    <phoneticPr fontId="3"/>
  </si>
  <si>
    <t>【障害】1-9帳票に重複レコードが存在する</t>
    <phoneticPr fontId="3"/>
  </si>
  <si>
    <t>SYSTEM-4628</t>
    <phoneticPr fontId="3"/>
  </si>
  <si>
    <t>アプリ│バナー更新依頼（210301）</t>
    <phoneticPr fontId="3"/>
  </si>
  <si>
    <t>SYSTEM-4641</t>
    <phoneticPr fontId="3"/>
  </si>
  <si>
    <t>SYSTEM-4643</t>
    <phoneticPr fontId="3"/>
  </si>
  <si>
    <t>SYSTEM-4634</t>
    <phoneticPr fontId="3"/>
  </si>
  <si>
    <t>【改善】フロントシステム　セルフチェックイン改善</t>
    <phoneticPr fontId="3"/>
  </si>
  <si>
    <t>HELPDESK-16614</t>
    <phoneticPr fontId="3"/>
  </si>
  <si>
    <t>本部確認書類チェックシートの印刷ができない（アシコタウンあしかが店）</t>
    <phoneticPr fontId="3"/>
  </si>
  <si>
    <t>閉店した店舗がプラスワンに登録されていた場合の復会変更(志木店)</t>
    <phoneticPr fontId="3"/>
  </si>
  <si>
    <t>商業施設へのレポート出力機能（2020年12月～）</t>
    <phoneticPr fontId="3"/>
  </si>
  <si>
    <t>HELPDESK-16536</t>
    <phoneticPr fontId="3"/>
  </si>
  <si>
    <t>HELPDESK-16802</t>
    <phoneticPr fontId="3"/>
  </si>
  <si>
    <t>SYSTEM-4662</t>
    <phoneticPr fontId="3"/>
  </si>
  <si>
    <t>FY19-311</t>
    <phoneticPr fontId="3"/>
  </si>
  <si>
    <t>CSアンケートの文言変更</t>
    <phoneticPr fontId="3"/>
  </si>
  <si>
    <t>SYSTEM-4681</t>
    <phoneticPr fontId="3"/>
  </si>
  <si>
    <t>SYSTEM-4671</t>
    <phoneticPr fontId="3"/>
  </si>
  <si>
    <t>SYSTEM-4707</t>
    <phoneticPr fontId="3"/>
  </si>
  <si>
    <t>アプリ│バナー更新依頼（210401）</t>
    <phoneticPr fontId="3"/>
  </si>
  <si>
    <t>SYSTEM-4698</t>
    <phoneticPr fontId="3"/>
  </si>
  <si>
    <t>SYSTEM-4696</t>
    <phoneticPr fontId="3"/>
  </si>
  <si>
    <t>SYSTEM-4700</t>
    <phoneticPr fontId="3"/>
  </si>
  <si>
    <t>予約専用ページ：MGMアンケートバナー【取り下げ】のご依頼（3/22)</t>
    <phoneticPr fontId="3"/>
  </si>
  <si>
    <t>POS読み替え追加</t>
    <phoneticPr fontId="3"/>
  </si>
  <si>
    <t>SYSTEM-4668</t>
    <phoneticPr fontId="3"/>
  </si>
  <si>
    <t>受講漏れ受講処理エラー(21/3/7)</t>
    <phoneticPr fontId="3"/>
  </si>
  <si>
    <t>新規OPマンスリー導入（お手軽2、ロッカーキープ）</t>
    <phoneticPr fontId="3"/>
  </si>
  <si>
    <t>HELPDESK-17215</t>
    <phoneticPr fontId="3"/>
  </si>
  <si>
    <t>申請状況確認表示について(CC)</t>
    <phoneticPr fontId="3"/>
  </si>
  <si>
    <t>SYSTEM-4749</t>
    <phoneticPr fontId="3"/>
  </si>
  <si>
    <t>アプリ│バナー更新依頼（210419）</t>
    <phoneticPr fontId="3"/>
  </si>
  <si>
    <t>男女共用レッスンを男性が予約できない（ 堺東アネックス店）</t>
    <phoneticPr fontId="3"/>
  </si>
  <si>
    <t>SYSTEM-4734</t>
    <phoneticPr fontId="3"/>
  </si>
  <si>
    <t>【新規】マシンピラティスにEMS回数マンスリー付与</t>
    <phoneticPr fontId="3"/>
  </si>
  <si>
    <t>SYSTEM-4771</t>
    <phoneticPr fontId="3"/>
  </si>
  <si>
    <t>SYSTEM-4772</t>
    <phoneticPr fontId="3"/>
  </si>
  <si>
    <t>SYSTEM-4717</t>
    <phoneticPr fontId="3"/>
  </si>
  <si>
    <t>FY19-318</t>
    <phoneticPr fontId="3"/>
  </si>
  <si>
    <t>HELPDESK-17149</t>
    <phoneticPr fontId="3"/>
  </si>
  <si>
    <t>フロントシステムWEB入会表示について（南太田店）</t>
    <phoneticPr fontId="3"/>
  </si>
  <si>
    <t>SYSTEM-4777</t>
    <phoneticPr fontId="3"/>
  </si>
  <si>
    <t>SYSTEM-4702</t>
    <phoneticPr fontId="3"/>
  </si>
  <si>
    <t>SYSTEM-4702.非マンスリー会員でスクリーンフルのPOS打ちをするとエラーが発生</t>
    <phoneticPr fontId="3"/>
  </si>
  <si>
    <t>【CC】体験予約システム開発</t>
    <phoneticPr fontId="3"/>
  </si>
  <si>
    <t>HELPDESK-17391</t>
    <phoneticPr fontId="3"/>
  </si>
  <si>
    <t>レッスン一覧に表示されない(新領域)</t>
    <phoneticPr fontId="3"/>
  </si>
  <si>
    <t>HELPDESK-17417</t>
    <phoneticPr fontId="3"/>
  </si>
  <si>
    <t>【回答依頼】レッスンアンケートについて(石切山茜AM)</t>
    <phoneticPr fontId="3"/>
  </si>
  <si>
    <t>SYSTEM-4740</t>
    <phoneticPr fontId="3"/>
  </si>
  <si>
    <t>緊急事態宣言対応　①予約サイト+アプリの文言追加対応</t>
    <phoneticPr fontId="3"/>
  </si>
  <si>
    <t>POS顔写真</t>
    <phoneticPr fontId="3"/>
  </si>
  <si>
    <t>SYSTEM-4802</t>
    <phoneticPr fontId="3"/>
  </si>
  <si>
    <t>【新規】予約専用ページに設置中のCVタグの改修</t>
    <phoneticPr fontId="3"/>
  </si>
  <si>
    <t>来店のきっかけの更新</t>
    <phoneticPr fontId="3"/>
  </si>
  <si>
    <t>SYSTEM-4743</t>
    <phoneticPr fontId="3"/>
  </si>
  <si>
    <t>FY19-314</t>
    <phoneticPr fontId="3"/>
  </si>
  <si>
    <t>FY19-319</t>
    <phoneticPr fontId="3"/>
  </si>
  <si>
    <t>SYSTEM-4811</t>
    <phoneticPr fontId="3"/>
  </si>
  <si>
    <t>SYSTEM-4823</t>
    <phoneticPr fontId="3"/>
  </si>
  <si>
    <t>予約専用ページ：うちヨガ＋バナー【差し替え】のお願い（5/17）</t>
    <phoneticPr fontId="3"/>
  </si>
  <si>
    <t>アプリ│バナー更新依頼（210525）</t>
    <phoneticPr fontId="3"/>
  </si>
  <si>
    <t>SYSTEM-4831</t>
    <phoneticPr fontId="3"/>
  </si>
  <si>
    <t>SYSTEM-4824</t>
    <phoneticPr fontId="3"/>
  </si>
  <si>
    <t>SYSTEM-4793</t>
    <phoneticPr fontId="3"/>
  </si>
  <si>
    <t>【調査】解約金明細データ作成について</t>
    <phoneticPr fontId="3"/>
  </si>
  <si>
    <t>SYSTEM-1782</t>
    <phoneticPr fontId="3"/>
  </si>
  <si>
    <t>郵便番号必須入力</t>
    <phoneticPr fontId="3"/>
  </si>
  <si>
    <t>FY18-15</t>
    <phoneticPr fontId="3"/>
  </si>
  <si>
    <t>FY18-26</t>
    <phoneticPr fontId="3"/>
  </si>
  <si>
    <t>永久割(Lフル)のWeb入会申し込み時の予約件数表記</t>
    <phoneticPr fontId="3"/>
  </si>
  <si>
    <t>FY18-90</t>
    <phoneticPr fontId="3"/>
  </si>
  <si>
    <t>FY18-72</t>
    <phoneticPr fontId="3"/>
  </si>
  <si>
    <t>SYSTEM-2005</t>
    <phoneticPr fontId="3"/>
  </si>
  <si>
    <t>SYSTEM-2124</t>
    <phoneticPr fontId="3"/>
  </si>
  <si>
    <t>DDOC-155</t>
    <phoneticPr fontId="3"/>
  </si>
  <si>
    <t>配布用レスケの表示改善要望</t>
    <phoneticPr fontId="3"/>
  </si>
  <si>
    <t>DDOC-158</t>
    <phoneticPr fontId="3"/>
  </si>
  <si>
    <t>渋谷クロスタワー店閉店について（201812対応分）</t>
    <phoneticPr fontId="3"/>
  </si>
  <si>
    <t>SYSTEM-2269</t>
    <phoneticPr fontId="3"/>
  </si>
  <si>
    <t>SYSTEM-2293</t>
    <phoneticPr fontId="3"/>
  </si>
  <si>
    <t>【FOE】伝票削除時に削除者などの情報を付加し、過去伝票に表示させる。</t>
    <phoneticPr fontId="3"/>
  </si>
  <si>
    <t>店舗フロント.累計受講回数の多い店舗をリストの上位にしたい　CC要望</t>
    <phoneticPr fontId="3"/>
  </si>
  <si>
    <t>チケットメンテナンス画面の戻るボタンによる遷移時に会員種別を保持する</t>
    <phoneticPr fontId="3"/>
  </si>
  <si>
    <t>SYSTEM-2398</t>
    <phoneticPr fontId="3"/>
  </si>
  <si>
    <t>店舗情報管理システムの開発</t>
    <phoneticPr fontId="3"/>
  </si>
  <si>
    <t>CLC、クレピコ還元データのweb送受信</t>
    <phoneticPr fontId="3"/>
  </si>
  <si>
    <t>SYSTEM-2536</t>
    <phoneticPr fontId="3"/>
  </si>
  <si>
    <t>SYSTEM-2513</t>
    <phoneticPr fontId="3"/>
  </si>
  <si>
    <t>SYSTEM-2597</t>
    <phoneticPr fontId="3"/>
  </si>
  <si>
    <t>【LINE】入会時にLINEID連携すると500円商品券付与</t>
    <phoneticPr fontId="3"/>
  </si>
  <si>
    <t>【FOE】＜入庫処理自動化＞リリース</t>
    <phoneticPr fontId="3"/>
  </si>
  <si>
    <t>WEBENTRY-19</t>
    <phoneticPr fontId="3"/>
  </si>
  <si>
    <t>不具合対応　レスケシステム　IR変更ボタン押下時にキャンセル待ち繰り上がり処理される</t>
    <phoneticPr fontId="3"/>
  </si>
  <si>
    <t>FY19-7</t>
    <phoneticPr fontId="3"/>
  </si>
  <si>
    <t>WEBENTRY-20</t>
    <phoneticPr fontId="3"/>
  </si>
  <si>
    <t>FY19-4</t>
    <phoneticPr fontId="3"/>
  </si>
  <si>
    <t>在庫システム　残課題対応</t>
    <phoneticPr fontId="3"/>
  </si>
  <si>
    <t>WEBENTRY-27</t>
    <phoneticPr fontId="3"/>
  </si>
  <si>
    <t>WEBENTRY-34</t>
    <phoneticPr fontId="3"/>
  </si>
  <si>
    <t>メール配信業者の移行</t>
    <phoneticPr fontId="3"/>
  </si>
  <si>
    <t>SYSTEM-2825</t>
    <phoneticPr fontId="3"/>
  </si>
  <si>
    <t>FY19-47</t>
    <phoneticPr fontId="3"/>
  </si>
  <si>
    <t>【HK】新宿西口駅前店にHK消化売上が紐づいている件について</t>
    <phoneticPr fontId="3"/>
  </si>
  <si>
    <t>【運用改善】月次棚卸画面の各項目に初期値0を設定したい</t>
    <phoneticPr fontId="3"/>
  </si>
  <si>
    <t>ご予約専用サイト　追加料金表示、表示テキスト修正について</t>
    <phoneticPr fontId="3"/>
  </si>
  <si>
    <t>SYSTEM-2954</t>
    <phoneticPr fontId="3"/>
  </si>
  <si>
    <t>【ずっと割】WEB入会後、ずっと割に変更したいと申し出があった会員様の対応について</t>
    <phoneticPr fontId="3"/>
  </si>
  <si>
    <t>SYSTEM-2975</t>
    <phoneticPr fontId="3"/>
  </si>
  <si>
    <t>WEBENTRY-70</t>
    <phoneticPr fontId="3"/>
  </si>
  <si>
    <t>SYSTEM-2878</t>
    <phoneticPr fontId="3"/>
  </si>
  <si>
    <t>SYSTEM-2936</t>
    <phoneticPr fontId="3"/>
  </si>
  <si>
    <t>SURFINGシリーズ　予約画面への注意事項掲載のお願い</t>
    <phoneticPr fontId="3"/>
  </si>
  <si>
    <t>1-1当月売上詳細(物販)　値引き額不正</t>
    <phoneticPr fontId="3"/>
  </si>
  <si>
    <t>SYSTEM-2991</t>
    <phoneticPr fontId="3"/>
  </si>
  <si>
    <t>have_ticketを更新するモジュールの抽出</t>
    <phoneticPr fontId="3"/>
  </si>
  <si>
    <t>【P&amp;C革命2.0残課題】変更申請適用後のずっと割が正しく設定されない</t>
    <phoneticPr fontId="3"/>
  </si>
  <si>
    <t>ずっと割新グレードに伴うシステム改修</t>
    <phoneticPr fontId="3"/>
  </si>
  <si>
    <t>EMAIL-8</t>
    <phoneticPr fontId="3"/>
  </si>
  <si>
    <t>予約専用ページ：LINEバナーをLOSバナーへ変更依頼（11_1）</t>
    <phoneticPr fontId="3"/>
  </si>
  <si>
    <t>SYSTEM-3035</t>
    <phoneticPr fontId="3"/>
  </si>
  <si>
    <t>1-1物販帳票　項目名変更のお願い</t>
    <phoneticPr fontId="3"/>
  </si>
  <si>
    <t>WEBENTRY-78</t>
    <phoneticPr fontId="3"/>
  </si>
  <si>
    <t>オープン日未定で本登録させたい</t>
    <phoneticPr fontId="3"/>
  </si>
  <si>
    <t>SYSTEM-3131</t>
    <phoneticPr fontId="3"/>
  </si>
  <si>
    <t>SYSTEM-3083</t>
    <phoneticPr fontId="3"/>
  </si>
  <si>
    <t xml:space="preserve">monthly_chageテーブルを更新するモジュールの調査 </t>
    <phoneticPr fontId="3"/>
  </si>
  <si>
    <t>LINEのID連携すると５００円プレゼント／停止のご依頼（1130）</t>
    <phoneticPr fontId="3"/>
  </si>
  <si>
    <t>15周年通い放題の画面コピー取得</t>
    <phoneticPr fontId="3"/>
  </si>
  <si>
    <t>自動配信メール　フッタ　Lapre関連修正　追加対応</t>
    <phoneticPr fontId="3"/>
  </si>
  <si>
    <t>HELPDESK-11983</t>
    <phoneticPr fontId="3"/>
  </si>
  <si>
    <t>SYSTEM-3421</t>
    <phoneticPr fontId="3"/>
  </si>
  <si>
    <t>障害改修　【POS、フロント、有効期限切れチケット消化バッチ】体験チケットでの受講でスタンプが付与されてしまう</t>
    <phoneticPr fontId="3"/>
  </si>
  <si>
    <t>SYSTEM-3300</t>
    <phoneticPr fontId="3"/>
  </si>
  <si>
    <t>SYSTEM-3324</t>
    <phoneticPr fontId="3"/>
  </si>
  <si>
    <t>次回予約促進メール　送信タイミング・内容の変更</t>
    <phoneticPr fontId="3"/>
  </si>
  <si>
    <t>FY19-160</t>
    <phoneticPr fontId="3"/>
  </si>
  <si>
    <t>障害改修　店舗フロント　シングルコーテーションのついたレッスンの受講、キャンセル、後受講ができない</t>
    <phoneticPr fontId="3"/>
  </si>
  <si>
    <t>マシンピラティス　予約画面への注意事項修正依頼</t>
    <phoneticPr fontId="3"/>
  </si>
  <si>
    <t>HELPDESK-12602</t>
    <phoneticPr fontId="3"/>
  </si>
  <si>
    <t>会員証レイアウトの変更</t>
    <phoneticPr fontId="3"/>
  </si>
  <si>
    <t>SYSTEM-3417</t>
    <phoneticPr fontId="3"/>
  </si>
  <si>
    <t>SYSTEM-3487</t>
    <phoneticPr fontId="3"/>
  </si>
  <si>
    <t>SYSTEM-3490</t>
    <phoneticPr fontId="3"/>
  </si>
  <si>
    <t>障害改修　アマウント再計算バッチ　調整ポイント再計算が正しくない</t>
    <phoneticPr fontId="3"/>
  </si>
  <si>
    <t>障害改修　【台紙付与バッチ】アプリログアウト後の台紙付与について</t>
    <phoneticPr fontId="3"/>
  </si>
  <si>
    <t>FY19-82</t>
    <phoneticPr fontId="3"/>
  </si>
  <si>
    <t>安心サポート購入者の個人情報チェック機能サーバ構成調査</t>
    <phoneticPr fontId="3"/>
  </si>
  <si>
    <t>SYSTEM-3402</t>
    <phoneticPr fontId="3"/>
  </si>
  <si>
    <t>帳票1-9と1-8のレッスン受講数が合わない件について</t>
    <phoneticPr fontId="3"/>
  </si>
  <si>
    <t>【POSメンテ】過去分のメンテ時の基準日について</t>
    <phoneticPr fontId="3"/>
  </si>
  <si>
    <t>アプリ│バナー差替依頼（200219）</t>
    <phoneticPr fontId="3"/>
  </si>
  <si>
    <t>SEASON4-182</t>
    <phoneticPr fontId="3"/>
  </si>
  <si>
    <t>SYSTEM-3629</t>
    <phoneticPr fontId="3"/>
  </si>
  <si>
    <t>SYSTEM-3632</t>
    <phoneticPr fontId="3"/>
  </si>
  <si>
    <t>FY19-204</t>
    <phoneticPr fontId="3"/>
  </si>
  <si>
    <t>FY19-208</t>
    <phoneticPr fontId="3"/>
  </si>
  <si>
    <t>WEBENTRY-118</t>
    <phoneticPr fontId="3"/>
  </si>
  <si>
    <t>本部システムのお知らせ検索画面が表示されない（応答なし）</t>
    <phoneticPr fontId="3"/>
  </si>
  <si>
    <t>Lapreログインエラーテキスト文言変更</t>
    <phoneticPr fontId="3"/>
  </si>
  <si>
    <t>SYSTEM-3588</t>
    <phoneticPr fontId="3"/>
  </si>
  <si>
    <t>【コロナ対応】返金帳票の文言変更</t>
    <phoneticPr fontId="3"/>
  </si>
  <si>
    <t>4月CLC誤請求の会員のチケットメンテ</t>
    <phoneticPr fontId="3"/>
  </si>
  <si>
    <t>3月CLC誤請求の会員のチケットメンテ</t>
    <phoneticPr fontId="3"/>
  </si>
  <si>
    <t>WEBENTRY-103</t>
    <phoneticPr fontId="3"/>
  </si>
  <si>
    <t>SYSTEM-3727</t>
    <phoneticPr fontId="3"/>
  </si>
  <si>
    <t>SYSTEM-3784</t>
    <phoneticPr fontId="3"/>
  </si>
  <si>
    <t>SYSTEM-3790</t>
    <phoneticPr fontId="3"/>
  </si>
  <si>
    <t>【コロナ対応】6月チケットメンテ</t>
    <phoneticPr fontId="3"/>
  </si>
  <si>
    <t>SYSTEM-3785</t>
    <phoneticPr fontId="3"/>
  </si>
  <si>
    <t>【コロナ対応】途中解約金額新ルール対応（更新バッチ）</t>
    <phoneticPr fontId="3"/>
  </si>
  <si>
    <t>HELPDESK-13917</t>
    <phoneticPr fontId="3"/>
  </si>
  <si>
    <t>SYSTEM-3719</t>
    <phoneticPr fontId="3"/>
  </si>
  <si>
    <t>SYSTEM-3776</t>
    <phoneticPr fontId="3"/>
  </si>
  <si>
    <t>【Lapre】Web入会会員が初めてLapre画面に遷移した場合に表示される同意文書が表示されない</t>
    <phoneticPr fontId="3"/>
  </si>
  <si>
    <t>SYSTEM-3749</t>
    <phoneticPr fontId="3"/>
  </si>
  <si>
    <t>SYSTEM-3750</t>
    <phoneticPr fontId="3"/>
  </si>
  <si>
    <t>予約専用ページ：LOSバナー【画像差し替え】のお願い（427）</t>
    <phoneticPr fontId="3"/>
  </si>
  <si>
    <t>新解約金テーブル更新バッチ実行結果をメールで送付する。</t>
    <phoneticPr fontId="3"/>
  </si>
  <si>
    <t>SYSTEM-3884</t>
    <phoneticPr fontId="3"/>
  </si>
  <si>
    <t>【バッチ】レッスン情報インポートのバッチ見直し</t>
    <phoneticPr fontId="3"/>
  </si>
  <si>
    <t>【DB安定化】レッスン検索条件必須チェック追加（スマホアプリ）</t>
    <phoneticPr fontId="3"/>
  </si>
  <si>
    <t>HELPDESK-14701</t>
    <phoneticPr fontId="3"/>
  </si>
  <si>
    <t>SYSTEM-3954</t>
    <phoneticPr fontId="3"/>
  </si>
  <si>
    <t>予約専用ページ：YogaFullバナー【設置】のお願い（77）</t>
    <phoneticPr fontId="3"/>
  </si>
  <si>
    <t>調査依頼 フリーフル会員にヨガ活M4台紙が付与されている</t>
    <phoneticPr fontId="3"/>
  </si>
  <si>
    <t>FY19-193</t>
    <phoneticPr fontId="3"/>
  </si>
  <si>
    <t>FY19-28</t>
    <phoneticPr fontId="3"/>
  </si>
  <si>
    <t>FY19-238</t>
    <phoneticPr fontId="3"/>
  </si>
  <si>
    <t>FY19-256</t>
    <phoneticPr fontId="3"/>
  </si>
  <si>
    <t>HELPDESK-14818</t>
    <phoneticPr fontId="3"/>
  </si>
  <si>
    <t>【コロナ対応】4月0円請求者の請求結果ステータス更新</t>
    <phoneticPr fontId="3"/>
  </si>
  <si>
    <t>SYSTEM-4029</t>
    <phoneticPr fontId="3"/>
  </si>
  <si>
    <t>予約専用ページ：MGMバナー【出し分け】のご依頼（7/29)</t>
    <phoneticPr fontId="3"/>
  </si>
  <si>
    <t>有効期限切れバッチ</t>
    <phoneticPr fontId="3"/>
  </si>
  <si>
    <t>SYSTEM-4041</t>
    <phoneticPr fontId="3"/>
  </si>
  <si>
    <t>【障害】過去台紙のスタンプが取り消されてしまう</t>
    <phoneticPr fontId="3"/>
  </si>
  <si>
    <t>SYSTEM-3888</t>
    <phoneticPr fontId="3"/>
  </si>
  <si>
    <t>変更届出書に休会中の縛り期間延長の追記</t>
    <phoneticPr fontId="3"/>
  </si>
  <si>
    <t>FY19-259</t>
    <phoneticPr fontId="3"/>
  </si>
  <si>
    <t>SYSTEM-4082</t>
    <phoneticPr fontId="3"/>
  </si>
  <si>
    <t>予約専用ページ：採用バナー【画像差し替え】のお願い（8/20）</t>
    <phoneticPr fontId="3"/>
  </si>
  <si>
    <t>SYSTEM-4078</t>
    <phoneticPr fontId="3"/>
  </si>
  <si>
    <t xml:space="preserve">返金申請をする際『その他回収金』の伝票が選択できない（イーアスつくば） </t>
    <phoneticPr fontId="3"/>
  </si>
  <si>
    <t>HELPDESK-14755</t>
    <phoneticPr fontId="3"/>
  </si>
  <si>
    <t>来店時の時間外キャンセル条件変更（店舗縛りを外す）</t>
    <phoneticPr fontId="3"/>
  </si>
  <si>
    <t>SYSTEM-4178</t>
    <phoneticPr fontId="3"/>
  </si>
  <si>
    <t>アプリスタンプラリー対応　ビンゴ</t>
    <phoneticPr fontId="3"/>
  </si>
  <si>
    <t>SYSTEM-4226</t>
    <phoneticPr fontId="3"/>
  </si>
  <si>
    <t>予約専用ページ：MGMバナー【出し分け】のご依頼（9/25)</t>
    <phoneticPr fontId="3"/>
  </si>
  <si>
    <t>SYSTEM-4208</t>
    <phoneticPr fontId="3"/>
  </si>
  <si>
    <t>LINEリッチメニューお友達紹介ボタンへのパラメータ付与</t>
    <phoneticPr fontId="3"/>
  </si>
  <si>
    <t>SYSTEM-4272</t>
    <phoneticPr fontId="3"/>
  </si>
  <si>
    <t>SYSTEM-4358</t>
    <phoneticPr fontId="3"/>
  </si>
  <si>
    <t>SYSTEM-4388</t>
    <phoneticPr fontId="3"/>
  </si>
  <si>
    <t>FY19-286</t>
    <phoneticPr fontId="3"/>
  </si>
  <si>
    <t xml:space="preserve">店舗変更しても反映されない（ヨシヅヤ新稲沢店） </t>
    <phoneticPr fontId="3"/>
  </si>
  <si>
    <t xml:space="preserve">棚卸の開始ができない件 </t>
    <phoneticPr fontId="3"/>
  </si>
  <si>
    <t>SYSTEM-4273</t>
    <phoneticPr fontId="3"/>
  </si>
  <si>
    <t xml:space="preserve">集金代行引き落とし日が月を跨ぐ場合のシステムの影響有無について </t>
    <phoneticPr fontId="3"/>
  </si>
  <si>
    <t>SYSTEM-3476</t>
    <phoneticPr fontId="3"/>
  </si>
  <si>
    <t>SYSTEM-4399</t>
    <phoneticPr fontId="3"/>
  </si>
  <si>
    <t>SYSTEM-4411</t>
    <phoneticPr fontId="3"/>
  </si>
  <si>
    <t>ルビット岡崎店のトランポリンレッスンにWeb入会初回来店の会員に予約を取らせたくない</t>
    <phoneticPr fontId="3"/>
  </si>
  <si>
    <t>SYSTEM-4425</t>
    <phoneticPr fontId="3"/>
  </si>
  <si>
    <t>SYSTEM-4436</t>
    <phoneticPr fontId="3"/>
  </si>
  <si>
    <t>予約サイトTOP設置のMGMバナーの計測パラメーターを動的書き換え</t>
    <phoneticPr fontId="3"/>
  </si>
  <si>
    <t>ポイント利用がある伝票削除を行うと削除が行われない場合がある</t>
    <phoneticPr fontId="3"/>
  </si>
  <si>
    <t>SYSTEM-4184</t>
    <phoneticPr fontId="3"/>
  </si>
  <si>
    <t>SYSTEM-4426</t>
    <phoneticPr fontId="3"/>
  </si>
  <si>
    <t xml:space="preserve">【障害】POSの「翌月適用ボタン」を押下するとNullPointerExceptionが発生する。 </t>
    <phoneticPr fontId="3"/>
  </si>
  <si>
    <t>SYSTEM-4450</t>
    <phoneticPr fontId="3"/>
  </si>
  <si>
    <t>SYSTEM-3709</t>
    <phoneticPr fontId="3"/>
  </si>
  <si>
    <t>SYSTEM-4538</t>
    <phoneticPr fontId="3"/>
  </si>
  <si>
    <t>本部書類送付の確定ボタンを押すとエラーになる（長居店）</t>
    <phoneticPr fontId="3"/>
  </si>
  <si>
    <t>【エラー対応】FRONTシステムのjava表示エラーに関して</t>
    <phoneticPr fontId="3"/>
  </si>
  <si>
    <t>SYSTEM-4527</t>
    <phoneticPr fontId="3"/>
  </si>
  <si>
    <t>SYSTEM-4548</t>
    <phoneticPr fontId="3"/>
  </si>
  <si>
    <t>郵送解約申請書DL再利用</t>
    <phoneticPr fontId="3"/>
  </si>
  <si>
    <t>SYSTEM-4569</t>
    <phoneticPr fontId="3"/>
  </si>
  <si>
    <t>SYSTEM-4566</t>
    <phoneticPr fontId="3"/>
  </si>
  <si>
    <t>SYSTEM-4530</t>
    <phoneticPr fontId="3"/>
  </si>
  <si>
    <t>FY19-308</t>
    <phoneticPr fontId="3"/>
  </si>
  <si>
    <t>【閉店統合】札幌駅前店　新規受付WEB申込終了</t>
    <phoneticPr fontId="3"/>
  </si>
  <si>
    <t>予約専用ページ：16周年クーポンバナー取り下げのお願い（3/1)</t>
    <phoneticPr fontId="3"/>
  </si>
  <si>
    <t>公式アプリ | 「会員証」ページにバナー表示エリア追加</t>
    <phoneticPr fontId="3"/>
  </si>
  <si>
    <t>INF-110</t>
    <phoneticPr fontId="3"/>
  </si>
  <si>
    <t>【構築】ヒネモスサーバにてバッチの集約を行</t>
    <phoneticPr fontId="3"/>
  </si>
  <si>
    <t>SYSTEM-4712</t>
    <phoneticPr fontId="3"/>
  </si>
  <si>
    <t>SYSTEM-4670</t>
    <phoneticPr fontId="3"/>
  </si>
  <si>
    <t>RM-123</t>
    <phoneticPr fontId="3"/>
  </si>
  <si>
    <t>SYSTEM-4716</t>
    <phoneticPr fontId="3"/>
  </si>
  <si>
    <t>マイページトップのバナーの外部化</t>
    <phoneticPr fontId="3"/>
  </si>
  <si>
    <t>予約専用ページ：予約&amp;キャンセル完了ページ【画像差し替え】のお願い（4/22）</t>
    <phoneticPr fontId="3"/>
  </si>
  <si>
    <t>1－1商品マスター追加項目リクエスト</t>
    <phoneticPr fontId="3"/>
  </si>
  <si>
    <t>HELPDESK-17220</t>
    <phoneticPr fontId="3"/>
  </si>
  <si>
    <t>【障害】プログラムチャレンジ達成時のポイント名称誤り</t>
    <phoneticPr fontId="3"/>
  </si>
  <si>
    <t>アプリ│バナー更新依頼（210507）</t>
    <phoneticPr fontId="3"/>
  </si>
  <si>
    <t>SYSTEM-4768</t>
    <phoneticPr fontId="3"/>
  </si>
  <si>
    <t>SYSTEM-4653</t>
    <phoneticPr fontId="3"/>
  </si>
  <si>
    <t>区分値・テーブル定義更新</t>
    <phoneticPr fontId="3"/>
  </si>
  <si>
    <t>Lapre売上集計ツールの改修依頼</t>
    <phoneticPr fontId="3"/>
  </si>
  <si>
    <t>Galileoptデータ連携/変形労働</t>
    <phoneticPr fontId="3"/>
  </si>
  <si>
    <t>【障害】1-1帳票Null Pointer（20210503）</t>
    <phoneticPr fontId="3"/>
  </si>
  <si>
    <t>FY18-28</t>
    <phoneticPr fontId="3"/>
  </si>
  <si>
    <t>lava-export-scheduleの出力JSONにマスターレッスンの印を追加する(マーケG)</t>
    <phoneticPr fontId="3"/>
  </si>
  <si>
    <t>フロントシステムの対応中案件のソート</t>
    <phoneticPr fontId="3"/>
  </si>
  <si>
    <t>WEB入会永久割103プランについて（マーケG）</t>
    <phoneticPr fontId="3"/>
  </si>
  <si>
    <t>SYSTEM-2246</t>
    <phoneticPr fontId="3"/>
  </si>
  <si>
    <t>商品読替作業　５月から</t>
    <phoneticPr fontId="3"/>
  </si>
  <si>
    <t>SYSTEM-2577</t>
    <phoneticPr fontId="3"/>
  </si>
  <si>
    <t>SYSTEM-2791</t>
    <phoneticPr fontId="3"/>
  </si>
  <si>
    <t>フロントシステムにWEB入会クーポン情報を表示する</t>
    <phoneticPr fontId="3"/>
  </si>
  <si>
    <t>SYSTEM-3007</t>
    <phoneticPr fontId="3"/>
  </si>
  <si>
    <t>EMAIL-9</t>
    <phoneticPr fontId="3"/>
  </si>
  <si>
    <t>SYSTEM-2988</t>
    <phoneticPr fontId="3"/>
  </si>
  <si>
    <t>FY19-125</t>
    <phoneticPr fontId="3"/>
  </si>
  <si>
    <t>reserve-mobile 緊急改修</t>
    <phoneticPr fontId="3"/>
  </si>
  <si>
    <t>HELPDESK-12093</t>
    <phoneticPr fontId="3"/>
  </si>
  <si>
    <t>予約専用ページ：LAVAFESTLIFEバナー追加のご依頼</t>
    <phoneticPr fontId="3"/>
  </si>
  <si>
    <t>ポイント・クーポン有効期限アラートメール　バッチ改修</t>
    <phoneticPr fontId="3"/>
  </si>
  <si>
    <t>SYSTEM-3424</t>
    <phoneticPr fontId="3"/>
  </si>
  <si>
    <t>返金対象月が201913になる</t>
    <phoneticPr fontId="3"/>
  </si>
  <si>
    <t>FY19-158</t>
    <phoneticPr fontId="3"/>
  </si>
  <si>
    <t>SYSTEM-3245</t>
    <phoneticPr fontId="3"/>
  </si>
  <si>
    <t>【休業中特別解約受付】</t>
    <phoneticPr fontId="3"/>
  </si>
  <si>
    <t>SYSTEM-3780</t>
    <phoneticPr fontId="3"/>
  </si>
  <si>
    <t>SYSTEM-3788</t>
    <phoneticPr fontId="3"/>
  </si>
  <si>
    <t>SYSTEM-3668</t>
    <phoneticPr fontId="3"/>
  </si>
  <si>
    <t>スクリーンヨガへの変更時にレッスンが3つしか出ない（宝塚店）</t>
    <phoneticPr fontId="3"/>
  </si>
  <si>
    <t>【店ナビ】改修対応　Ver.1.2.4</t>
    <phoneticPr fontId="3"/>
  </si>
  <si>
    <t>ポイント利用について（札幌駅前アネックス）</t>
    <phoneticPr fontId="3"/>
  </si>
  <si>
    <t>SYSTEM-3524</t>
    <phoneticPr fontId="3"/>
  </si>
  <si>
    <t>商業施設レポート出力エラー(2020/7/1配信)</t>
    <phoneticPr fontId="3"/>
  </si>
  <si>
    <t>dissolve_moneyテーブルにデータを作成しない。</t>
    <phoneticPr fontId="3"/>
  </si>
  <si>
    <t>FY19-210</t>
    <phoneticPr fontId="3"/>
  </si>
  <si>
    <t>SYSTEM-3836</t>
    <phoneticPr fontId="3"/>
  </si>
  <si>
    <t>SYSTEM-4019</t>
    <phoneticPr fontId="3"/>
  </si>
  <si>
    <t>SYSTEM-4174</t>
    <phoneticPr fontId="3"/>
  </si>
  <si>
    <t>アプリ│バナー下げ依頼（200910）</t>
    <phoneticPr fontId="3"/>
  </si>
  <si>
    <t>アプリ│バナー追加依頼（201001）</t>
    <phoneticPr fontId="3"/>
  </si>
  <si>
    <t>SYSTEM-4234</t>
    <phoneticPr fontId="3"/>
  </si>
  <si>
    <t>SYSTEM-4137</t>
    <phoneticPr fontId="3"/>
  </si>
  <si>
    <t>SYSTEM-4252</t>
    <phoneticPr fontId="3"/>
  </si>
  <si>
    <t>アプリ│バナー更新依頼（201026）</t>
    <phoneticPr fontId="3"/>
  </si>
  <si>
    <t>アプリ│ヨガ活　注意事項に文言追加</t>
    <phoneticPr fontId="3"/>
  </si>
  <si>
    <t>予約専用ページ：うちヨガ＋バナー【公開】のお願い（10/21）</t>
    <phoneticPr fontId="3"/>
  </si>
  <si>
    <t>障害調査　期限切れポイント履歴テーブルの失効日に有効期限が設定されている</t>
    <phoneticPr fontId="3"/>
  </si>
  <si>
    <t>お手軽5はメイン店舗以外でも販売可能</t>
    <phoneticPr fontId="3"/>
  </si>
  <si>
    <t>SYSTEM-4431</t>
    <phoneticPr fontId="3"/>
  </si>
  <si>
    <t>SYSTEM-4501</t>
    <phoneticPr fontId="3"/>
  </si>
  <si>
    <t>FY19-234</t>
    <phoneticPr fontId="3"/>
  </si>
  <si>
    <t>SYSTEM-4508</t>
    <phoneticPr fontId="3"/>
  </si>
  <si>
    <t>SYSTEM-3859</t>
    <phoneticPr fontId="3"/>
  </si>
  <si>
    <t>SYSTEM-4522</t>
    <phoneticPr fontId="3"/>
  </si>
  <si>
    <t>【調査依頼】予約サイト接続時に「このサイトは安全ではないため閉じてください」と表示されてしまう</t>
    <phoneticPr fontId="3"/>
  </si>
  <si>
    <t>プラチナパスポートのクーポンコードが適用されない（南柏店）</t>
    <phoneticPr fontId="3"/>
  </si>
  <si>
    <t>予約専用ページ：LOSバナー【画像差し替え】のお願い（3/22）</t>
    <phoneticPr fontId="3"/>
  </si>
  <si>
    <t>業務日報</t>
    <phoneticPr fontId="3"/>
  </si>
  <si>
    <t>会員種別が「マンスリー」なのにマンスリーチケットを所有していない</t>
    <phoneticPr fontId="3"/>
  </si>
  <si>
    <t>5月タイスケが印刷できない件（南太田店）</t>
    <phoneticPr fontId="3"/>
  </si>
  <si>
    <t>SYSTEM-4748</t>
    <phoneticPr fontId="3"/>
  </si>
  <si>
    <t>SYSTEM-4665</t>
    <phoneticPr fontId="3"/>
  </si>
  <si>
    <t>SYSTEM-4801</t>
    <phoneticPr fontId="3"/>
  </si>
  <si>
    <t>SYSTEM-4725</t>
    <phoneticPr fontId="3"/>
  </si>
  <si>
    <t>SYSTEM-4827</t>
    <phoneticPr fontId="3"/>
  </si>
  <si>
    <t>アプリ│バナー更新依頼（210526）</t>
    <phoneticPr fontId="3"/>
  </si>
  <si>
    <t>予約専用ページ：うちヨガ＋バナー【差し替え】のお願い（5/21）</t>
    <phoneticPr fontId="3"/>
  </si>
  <si>
    <t>予約専用ページ：予約&amp;キャンセル完了ページ【画像差し替え】のお願い（5/21）</t>
    <phoneticPr fontId="3"/>
  </si>
  <si>
    <t>「追加料金パターン」項目を削除する</t>
    <phoneticPr fontId="3"/>
  </si>
  <si>
    <t>SYSTEM-2029</t>
    <phoneticPr fontId="3"/>
  </si>
  <si>
    <t>FY18-35</t>
    <phoneticPr fontId="3"/>
  </si>
  <si>
    <t>適用CP選択子画面のヘッダにおいて正しく表示されない項目を修正する</t>
    <phoneticPr fontId="3"/>
  </si>
  <si>
    <t>Web入会をしても予約状況表に「クレピ」と表示されない</t>
    <phoneticPr fontId="3"/>
  </si>
  <si>
    <t>FY19-5</t>
    <phoneticPr fontId="3"/>
  </si>
  <si>
    <t>帳票10,2-3にWeb入会のお客様のマンスリー金額が計上されない</t>
    <phoneticPr fontId="3"/>
  </si>
  <si>
    <t>FY19-90</t>
    <phoneticPr fontId="3"/>
  </si>
  <si>
    <t>予約専用ページ：LINEバナー差し替えのご依頼（11_1以降）</t>
    <phoneticPr fontId="3"/>
  </si>
  <si>
    <t>合算DM　縛り期間対象者の契約終了不備</t>
    <phoneticPr fontId="3"/>
  </si>
  <si>
    <t>DDOC-173</t>
    <phoneticPr fontId="3"/>
  </si>
  <si>
    <t>reserve-mobile 緊急改修　第二弾</t>
    <phoneticPr fontId="3"/>
  </si>
  <si>
    <t>SYSTEM-3168</t>
    <phoneticPr fontId="3"/>
  </si>
  <si>
    <t>アプリ　重要なお知らせ３件の表示条件</t>
    <phoneticPr fontId="3"/>
  </si>
  <si>
    <t>【コロナ対応】5月チケットメンテ</t>
    <phoneticPr fontId="3"/>
  </si>
  <si>
    <t>LAVAAPR-250</t>
    <phoneticPr fontId="3"/>
  </si>
  <si>
    <t>SYSTEM-3752</t>
    <phoneticPr fontId="3"/>
  </si>
  <si>
    <t>メルマガ用リスト抽出520</t>
    <phoneticPr fontId="3"/>
  </si>
  <si>
    <t>HELPDESK-13912</t>
    <phoneticPr fontId="3"/>
  </si>
  <si>
    <t>予約専用ページ：LOSバナー【画像差し替え】のお願い（４24）</t>
    <phoneticPr fontId="3"/>
  </si>
  <si>
    <t>アプリ│バナー差替依頼（200507）</t>
    <phoneticPr fontId="3"/>
  </si>
  <si>
    <t>SYSTEM-3868</t>
    <phoneticPr fontId="3"/>
  </si>
  <si>
    <t>SYSTEM-3863</t>
    <phoneticPr fontId="3"/>
  </si>
  <si>
    <t>SYSTEM-3816</t>
    <phoneticPr fontId="3"/>
  </si>
  <si>
    <t>SYSTEM-3715</t>
    <phoneticPr fontId="3"/>
  </si>
  <si>
    <t>SYSTEM-3930</t>
    <phoneticPr fontId="3"/>
  </si>
  <si>
    <t>返金口座情報入力フォームの閉鎖</t>
    <phoneticPr fontId="3"/>
  </si>
  <si>
    <t>SYSTEM-3967</t>
    <phoneticPr fontId="3"/>
  </si>
  <si>
    <t>予約専用ページ：LIVE配信バナー【取り下げ】のお願い（7/27）</t>
    <phoneticPr fontId="3"/>
  </si>
  <si>
    <t>日割対象者の解約金明細画面の特殊対応に「日割」と表示する(5/7以降新規入会)</t>
    <phoneticPr fontId="3"/>
  </si>
  <si>
    <t>【コロナ対応】解約申請を3ヶ月目、それ以外を4ヶ月目から申請可能とする</t>
    <phoneticPr fontId="3"/>
  </si>
  <si>
    <t>レジ開けできない （ヨークタウン若松原店）</t>
    <phoneticPr fontId="3"/>
  </si>
  <si>
    <t>SYSTEM-3870</t>
    <phoneticPr fontId="3"/>
  </si>
  <si>
    <t>SYSTEM-3779</t>
    <phoneticPr fontId="3"/>
  </si>
  <si>
    <t xml:space="preserve"> [lava-office]特典発行アップロードで重複チェックをしない</t>
    <phoneticPr fontId="3"/>
  </si>
  <si>
    <t>アプリ│バナー差替依頼（200602）</t>
    <phoneticPr fontId="3"/>
  </si>
  <si>
    <t>FY19-209</t>
    <phoneticPr fontId="3"/>
  </si>
  <si>
    <t>SYSTEM-4076</t>
    <phoneticPr fontId="3"/>
  </si>
  <si>
    <t xml:space="preserve">【障害】マンスリー解約金個別対応テーブルのカラム名が違う   </t>
    <phoneticPr fontId="3"/>
  </si>
  <si>
    <t>【コロナ対応】休業中特別解約受付PJ　お客様のDLした申請書をDL機能削除</t>
    <phoneticPr fontId="3"/>
  </si>
  <si>
    <t>HELPDESK-14086</t>
    <phoneticPr fontId="3"/>
  </si>
  <si>
    <t xml:space="preserve">【レスケ】サマリーのレッスン数に否認レッスン数が含まれている </t>
    <phoneticPr fontId="3"/>
  </si>
  <si>
    <t>チューニング＠セルフチェックイン</t>
    <phoneticPr fontId="3"/>
  </si>
  <si>
    <t>決済日の取得方法変更</t>
    <phoneticPr fontId="3"/>
  </si>
  <si>
    <t>SYSTEM-4235</t>
    <phoneticPr fontId="3"/>
  </si>
  <si>
    <t>FY19-254</t>
    <phoneticPr fontId="3"/>
  </si>
  <si>
    <t>HELPDESK-15771</t>
    <phoneticPr fontId="3"/>
  </si>
  <si>
    <t>障害改修 【ランクアマウント再計算バッチ】マンスリー再購入前の調整額再計算</t>
    <phoneticPr fontId="3"/>
  </si>
  <si>
    <t>【障害】マンスリーチケットが有効でない状態で、オプションマンスリーが購入できてしまう</t>
    <phoneticPr fontId="3"/>
  </si>
  <si>
    <t xml:space="preserve">【POS】伝票の全件検索_伝票削除起因に関して </t>
    <phoneticPr fontId="3"/>
  </si>
  <si>
    <t>SYSTEM-4380</t>
    <phoneticPr fontId="3"/>
  </si>
  <si>
    <t>アプリ│バナー更新・下げ依頼（201113）</t>
    <phoneticPr fontId="3"/>
  </si>
  <si>
    <t>FY19-291</t>
    <phoneticPr fontId="3"/>
  </si>
  <si>
    <t>【運用改善】ポイント履歴データの表示順を日時の降順としたい</t>
    <phoneticPr fontId="3"/>
  </si>
  <si>
    <t>商業施設レポート12月配信分のメール文言追加</t>
    <phoneticPr fontId="3"/>
  </si>
  <si>
    <t>SYSTEM-4449</t>
    <phoneticPr fontId="3"/>
  </si>
  <si>
    <t>SYSTEM-4447</t>
    <phoneticPr fontId="3"/>
  </si>
  <si>
    <t>予約専用ページ：うちヨガ＋バナー【差し替え】のお願い（12/15）</t>
    <phoneticPr fontId="3"/>
  </si>
  <si>
    <t>予約専用ページ：バナー掲載順変更のお願い（12/15）</t>
    <phoneticPr fontId="3"/>
  </si>
  <si>
    <t>SYSTEM-4510</t>
    <phoneticPr fontId="3"/>
  </si>
  <si>
    <t>【障害】調査依頼　ビンゴスタンプが削除されている</t>
    <phoneticPr fontId="3"/>
  </si>
  <si>
    <t>予約専用ページ：LOSバナーのURL修正のお願い（1/12）</t>
    <phoneticPr fontId="3"/>
  </si>
  <si>
    <t>【調査】現状のオプションマンスリー重複について</t>
    <phoneticPr fontId="3"/>
  </si>
  <si>
    <t>SYSTEM-4602</t>
    <phoneticPr fontId="3"/>
  </si>
  <si>
    <t>SYSTEM-4618</t>
    <phoneticPr fontId="3"/>
  </si>
  <si>
    <t>【閉店統合】相模大野店⇒町田店(21年3末)</t>
    <phoneticPr fontId="3"/>
  </si>
  <si>
    <t>学割全国展開</t>
    <phoneticPr fontId="3"/>
  </si>
  <si>
    <t>SYSTEM-4644</t>
    <phoneticPr fontId="3"/>
  </si>
  <si>
    <t>MGMご入会特典ポイントが2重発行されている（事業推進：櫻井さん）</t>
    <phoneticPr fontId="3"/>
  </si>
  <si>
    <t>SYSTEM-4666</t>
    <phoneticPr fontId="3"/>
  </si>
  <si>
    <t>ご予約専用ページ：引落額表示画面へのリンク文言変更</t>
    <phoneticPr fontId="3"/>
  </si>
  <si>
    <t>【調査依頼】リッチメニューの仕様変更について</t>
    <phoneticPr fontId="3"/>
  </si>
  <si>
    <t>売上経費関連をＦＳ別管理としたい。</t>
    <phoneticPr fontId="3"/>
  </si>
  <si>
    <t>マンスリーチケットを所有しているのに会員種別が「非マンスリー」</t>
    <phoneticPr fontId="3"/>
  </si>
  <si>
    <t xml:space="preserve"> 【改修依頼】desknets従業員作成マクロ</t>
    <phoneticPr fontId="3"/>
  </si>
  <si>
    <t xml:space="preserve"> Evolvのチケット保有者の自動受講</t>
    <phoneticPr fontId="3"/>
  </si>
  <si>
    <t>SYSTEM-4760</t>
    <phoneticPr fontId="3"/>
  </si>
  <si>
    <t>SYSTEM-4720</t>
    <phoneticPr fontId="3"/>
  </si>
  <si>
    <t>HELPDESK-17299</t>
    <phoneticPr fontId="3"/>
  </si>
  <si>
    <t>SYSTEM-4724</t>
    <phoneticPr fontId="3"/>
  </si>
  <si>
    <t>【障害対応】クーポンの伝票削除時にポイントが削除されない</t>
    <phoneticPr fontId="3"/>
  </si>
  <si>
    <t>LINE　会員連携画面のメッセージ修正</t>
    <phoneticPr fontId="3"/>
  </si>
  <si>
    <t>SYSTEM-1854</t>
    <phoneticPr fontId="3"/>
  </si>
  <si>
    <t>解約前アンケート再印刷</t>
    <phoneticPr fontId="3"/>
  </si>
  <si>
    <t>SYSTEM-2135</t>
    <phoneticPr fontId="3"/>
  </si>
  <si>
    <t>【課税一覧】8月、9月分の出力</t>
    <phoneticPr fontId="3"/>
  </si>
  <si>
    <t>SYSTEM-2387</t>
    <phoneticPr fontId="3"/>
  </si>
  <si>
    <t>SYSTEM-2745</t>
    <phoneticPr fontId="3"/>
  </si>
  <si>
    <t>SYSTEM-2775</t>
    <phoneticPr fontId="3"/>
  </si>
  <si>
    <t>SYSTEM-839</t>
    <phoneticPr fontId="3"/>
  </si>
  <si>
    <t>HELPDESK-9667</t>
    <phoneticPr fontId="3"/>
  </si>
  <si>
    <t>【PRICE&amp;CP革命1.6】ずっと割会員の変更申請</t>
    <phoneticPr fontId="3"/>
  </si>
  <si>
    <t>体験予約・Web入会専用reserveの構築</t>
    <phoneticPr fontId="3"/>
  </si>
  <si>
    <t>増税・メルシー先行対応の撤廃</t>
    <phoneticPr fontId="3"/>
  </si>
  <si>
    <t>帳票　M会員アナライザ用　性別追加</t>
    <phoneticPr fontId="3"/>
  </si>
  <si>
    <t>FY19-92</t>
    <phoneticPr fontId="3"/>
  </si>
  <si>
    <t>FY19-112</t>
    <phoneticPr fontId="3"/>
  </si>
  <si>
    <t>解約変更データが登録されない：代理人申請のみ</t>
    <phoneticPr fontId="3"/>
  </si>
  <si>
    <t>『1-4マンスリーチケット全契約者』にアプリ登録の有無を追加したい。</t>
    <phoneticPr fontId="3"/>
  </si>
  <si>
    <t>POS区分「その他」のメンテナンスについて</t>
    <phoneticPr fontId="3"/>
  </si>
  <si>
    <t>予約状況表 満席ではないのにキャンセル待ちが発生している。（ゆめタウン廿日市店）</t>
    <phoneticPr fontId="3"/>
  </si>
  <si>
    <t>SYSTEM-3592</t>
    <phoneticPr fontId="3"/>
  </si>
  <si>
    <t>Web入会をキャンセルすると「決済キャンセル処理に失敗しました。・・・」となる</t>
    <phoneticPr fontId="3"/>
  </si>
  <si>
    <t>SYSTEM-3658</t>
    <phoneticPr fontId="3"/>
  </si>
  <si>
    <t>FY19-215</t>
    <phoneticPr fontId="3"/>
  </si>
  <si>
    <t>SYSTEM-3896</t>
    <phoneticPr fontId="3"/>
  </si>
  <si>
    <t>SYSTEM-4022</t>
    <phoneticPr fontId="3"/>
  </si>
  <si>
    <t>JANコード書き換え</t>
    <phoneticPr fontId="3"/>
  </si>
  <si>
    <t>SYSTEM-4232</t>
    <phoneticPr fontId="3"/>
  </si>
  <si>
    <t>FY19-277</t>
    <phoneticPr fontId="3"/>
  </si>
  <si>
    <t>SYSTEM-4245</t>
    <phoneticPr fontId="3"/>
  </si>
  <si>
    <t>SYSTEM-4092</t>
    <phoneticPr fontId="3"/>
  </si>
  <si>
    <t>FY19-232</t>
    <phoneticPr fontId="3"/>
  </si>
  <si>
    <t>SYSTEM-4260</t>
    <phoneticPr fontId="3"/>
  </si>
  <si>
    <t>【障害】次回期限切れ実行までに、有効期限が終了したポイント利用がある場合</t>
    <phoneticPr fontId="3"/>
  </si>
  <si>
    <t>HELPDESK-16112</t>
    <phoneticPr fontId="3"/>
  </si>
  <si>
    <t>FY19-309</t>
    <phoneticPr fontId="3"/>
  </si>
  <si>
    <t>レッスンの「詳細」が出てこない（立川北口店）</t>
    <phoneticPr fontId="3"/>
  </si>
  <si>
    <t>アプリ│バナー更新依頼（210405）</t>
    <phoneticPr fontId="3"/>
  </si>
  <si>
    <t>FY19-312</t>
    <phoneticPr fontId="3"/>
  </si>
  <si>
    <t>SYSTEM-4676</t>
    <phoneticPr fontId="3"/>
  </si>
  <si>
    <t>予約専用ページ：予約&amp;キャンセル完了ページ【画像差し替え】のお願い（3/30）</t>
    <phoneticPr fontId="3"/>
  </si>
  <si>
    <t>予約専用ページ：うちヨガ＋バナー【差し替え】のお願い（4/22）</t>
    <phoneticPr fontId="3"/>
  </si>
  <si>
    <t>【調査】在庫管理システムのセッションタイムアウト時間延長方法と影響</t>
    <phoneticPr fontId="3"/>
  </si>
  <si>
    <t>SYSTEM-1870</t>
    <phoneticPr fontId="3"/>
  </si>
  <si>
    <t>FY18-38</t>
    <phoneticPr fontId="3"/>
  </si>
  <si>
    <t>SYSTEM-2291</t>
    <phoneticPr fontId="3"/>
  </si>
  <si>
    <t>FY19トップインストラクター</t>
    <phoneticPr fontId="3"/>
  </si>
  <si>
    <t>FY18-206</t>
    <phoneticPr fontId="3"/>
  </si>
  <si>
    <t>FY19-117</t>
    <phoneticPr fontId="3"/>
  </si>
  <si>
    <t>WEBENTRY-75</t>
    <phoneticPr fontId="3"/>
  </si>
  <si>
    <t>FY19-89</t>
    <phoneticPr fontId="3"/>
  </si>
  <si>
    <t>SYSTEM-3037</t>
    <phoneticPr fontId="3"/>
  </si>
  <si>
    <t>【111～】予約専用サイト新店MGMキャンペーンバナー出し分けのお願い</t>
    <phoneticPr fontId="3"/>
  </si>
  <si>
    <t>reserve-mobileで検索対象にならないレッスン</t>
    <phoneticPr fontId="3"/>
  </si>
  <si>
    <t>自動配信メール　第四弾</t>
    <phoneticPr fontId="3"/>
  </si>
  <si>
    <t>SYSTEM-3149</t>
    <phoneticPr fontId="3"/>
  </si>
  <si>
    <t>SURFINGシリーズ　予約画面への注意事項掲載のお願い(1912)</t>
    <phoneticPr fontId="3"/>
  </si>
  <si>
    <t>自動配信メール　第五弾ー１</t>
    <phoneticPr fontId="3"/>
  </si>
  <si>
    <t>予約専用ページの水素美人まとめ買いセールのバナー削除</t>
    <phoneticPr fontId="3"/>
  </si>
  <si>
    <t>SYSTEM-3150</t>
    <phoneticPr fontId="3"/>
  </si>
  <si>
    <t>非マンスリーのMGM対応</t>
    <phoneticPr fontId="3"/>
  </si>
  <si>
    <t>CCアウトソース向けフロントシステム機能制限</t>
    <phoneticPr fontId="3"/>
  </si>
  <si>
    <t>学割M4の変更申請自動生成</t>
    <phoneticPr fontId="3"/>
  </si>
  <si>
    <t>障害改修　在庫システム　POS区分：非売品がスポット発注の対象になっていない</t>
    <phoneticPr fontId="3"/>
  </si>
  <si>
    <t>FY19-132</t>
    <phoneticPr fontId="3"/>
  </si>
  <si>
    <t>FY19-153</t>
    <phoneticPr fontId="3"/>
  </si>
  <si>
    <t>SYSTEM-3322</t>
    <phoneticPr fontId="3"/>
  </si>
  <si>
    <t>SYSTEM-3499</t>
    <phoneticPr fontId="3"/>
  </si>
  <si>
    <t>ポイント利用履歴（point_give_history）のポイント利用システム（system_kbn）にアプリ（13）が存在する</t>
    <phoneticPr fontId="3"/>
  </si>
  <si>
    <t>SYSTEM-3528</t>
    <phoneticPr fontId="3"/>
  </si>
  <si>
    <t>HELPDESK-12846</t>
    <phoneticPr fontId="3"/>
  </si>
  <si>
    <t>SYSTEM-3279</t>
    <phoneticPr fontId="3"/>
  </si>
  <si>
    <t>仕様確認のお願い 【台紙付与】台紙付与バッチでのリカバリーについて</t>
    <phoneticPr fontId="3"/>
  </si>
  <si>
    <t>【ポイント】有効期限消化時にマイナス調整を加味していない。</t>
    <phoneticPr fontId="3"/>
  </si>
  <si>
    <t>変更申請書　フォーマット不備</t>
    <phoneticPr fontId="3"/>
  </si>
  <si>
    <t>SYSTEM-3426</t>
    <phoneticPr fontId="3"/>
  </si>
  <si>
    <t>SYSTEM-3589</t>
    <phoneticPr fontId="3"/>
  </si>
  <si>
    <t>タブレット　会員番号の「0」が消える</t>
    <phoneticPr fontId="3"/>
  </si>
  <si>
    <t>障害対応　伝票削除をしてもアマウントの再計算対象にならない</t>
    <phoneticPr fontId="3"/>
  </si>
  <si>
    <t>SYSTEM-3607</t>
    <phoneticPr fontId="3"/>
  </si>
  <si>
    <t>KDDIキャンペーン対応</t>
    <phoneticPr fontId="3"/>
  </si>
  <si>
    <t>SYSTEM-3601</t>
    <phoneticPr fontId="3"/>
  </si>
  <si>
    <t>【コロナ対応】4月チケットメンテ/3月半額チケットを元に戻す</t>
    <phoneticPr fontId="3"/>
  </si>
  <si>
    <t>SYSTEM-2501</t>
    <phoneticPr fontId="3"/>
  </si>
  <si>
    <t>SYSTEM-3696</t>
    <phoneticPr fontId="3"/>
  </si>
  <si>
    <t>SYSTEM-3771</t>
    <phoneticPr fontId="3"/>
  </si>
  <si>
    <t>【休業中特別解約受付】グルーポン表示対象者の変更</t>
    <phoneticPr fontId="3"/>
  </si>
  <si>
    <t>SYSTEM-3821</t>
    <phoneticPr fontId="3"/>
  </si>
  <si>
    <t>SYSTEM-3864</t>
    <phoneticPr fontId="3"/>
  </si>
  <si>
    <t>SYSTEM-3950</t>
    <phoneticPr fontId="3"/>
  </si>
  <si>
    <t>FY19-253</t>
    <phoneticPr fontId="3"/>
  </si>
  <si>
    <t>【Lapre】売上取込処理時間の変更</t>
    <phoneticPr fontId="3"/>
  </si>
  <si>
    <t>FY19-261</t>
    <phoneticPr fontId="3"/>
  </si>
  <si>
    <t>FY19-260</t>
    <phoneticPr fontId="3"/>
  </si>
  <si>
    <t>HELPDESK-14978</t>
    <phoneticPr fontId="3"/>
  </si>
  <si>
    <t>SYSTEM-4164</t>
    <phoneticPr fontId="3"/>
  </si>
  <si>
    <t>【運用改善】配布用レスケ　モジュールのリリース作業することなくレッスン登録をするだけで表示されるようにしたい</t>
    <phoneticPr fontId="3"/>
  </si>
  <si>
    <t>SYSTEM-4413</t>
    <phoneticPr fontId="3"/>
  </si>
  <si>
    <t>SYSTEM-4428</t>
    <phoneticPr fontId="3"/>
  </si>
  <si>
    <t>SYSTEM-4090</t>
    <phoneticPr fontId="3"/>
  </si>
  <si>
    <t>SYSTEM-4502</t>
    <phoneticPr fontId="3"/>
  </si>
  <si>
    <t>予約専用ページ：LOSバナー【画像差し替え】のお願い（12/15）</t>
    <phoneticPr fontId="3"/>
  </si>
  <si>
    <t>予約専用ページ：MGMアンケートバナー【公開】のご依頼（12/21)</t>
    <phoneticPr fontId="3"/>
  </si>
  <si>
    <t>【不具合】店舗統合バッチ　初月次月者が変更申請上げられない</t>
    <phoneticPr fontId="3"/>
  </si>
  <si>
    <t>SYSTEM-4590</t>
    <phoneticPr fontId="3"/>
  </si>
  <si>
    <t>SYSTEM-4640</t>
    <phoneticPr fontId="3"/>
  </si>
  <si>
    <t>SYSTEM-4642</t>
    <phoneticPr fontId="3"/>
  </si>
  <si>
    <t>INF-109</t>
    <phoneticPr fontId="3"/>
  </si>
  <si>
    <t>SYSTEM-4697</t>
    <phoneticPr fontId="3"/>
  </si>
  <si>
    <t>予約専用ページ：採用バナー【取り下げ】のお願い（3/22）</t>
    <phoneticPr fontId="3"/>
  </si>
  <si>
    <t>SYSTEM-4690</t>
    <phoneticPr fontId="3"/>
  </si>
  <si>
    <t>【障害】アプリ　プラパスの入会月が表示されない</t>
    <phoneticPr fontId="3"/>
  </si>
  <si>
    <t>SYSTEM-4626</t>
    <phoneticPr fontId="3"/>
  </si>
  <si>
    <t>ジャックス集金代行手数料値下げ対応</t>
    <phoneticPr fontId="3"/>
  </si>
  <si>
    <t>FY19-297</t>
    <phoneticPr fontId="3"/>
  </si>
  <si>
    <t>SYSTEM-1968</t>
    <phoneticPr fontId="3"/>
  </si>
  <si>
    <t>FY18-51</t>
    <phoneticPr fontId="3"/>
  </si>
  <si>
    <t>SYSTEM-2959</t>
    <phoneticPr fontId="3"/>
  </si>
  <si>
    <t>SYSTEM-3132</t>
    <phoneticPr fontId="3"/>
  </si>
  <si>
    <t>12/1リリースまでにtrunkへ要マージ</t>
    <phoneticPr fontId="3"/>
  </si>
  <si>
    <t>SYSTEM-3290</t>
    <phoneticPr fontId="3"/>
  </si>
  <si>
    <t>EMAIL-19</t>
    <phoneticPr fontId="3"/>
  </si>
  <si>
    <t>SYSTEM-3189</t>
    <phoneticPr fontId="3"/>
  </si>
  <si>
    <t>インストラクターの性別情報</t>
    <phoneticPr fontId="3"/>
  </si>
  <si>
    <t>SYSTEM-3368</t>
    <phoneticPr fontId="3"/>
  </si>
  <si>
    <t>WEBENTRY-95</t>
    <phoneticPr fontId="3"/>
  </si>
  <si>
    <t>FY19-163</t>
    <phoneticPr fontId="3"/>
  </si>
  <si>
    <t>予約専用ページ：LOSバナー【画像差し替え】のお願い（226）</t>
    <phoneticPr fontId="3"/>
  </si>
  <si>
    <t>FY19-184</t>
    <phoneticPr fontId="3"/>
  </si>
  <si>
    <t>SYSTEM-3638</t>
    <phoneticPr fontId="3"/>
  </si>
  <si>
    <t>【運用改善】POSシステムで途中解約諸費用を変更できるようにする</t>
    <phoneticPr fontId="3"/>
  </si>
  <si>
    <t>アプリ│バナー差替依頼（200417）</t>
    <phoneticPr fontId="3"/>
  </si>
  <si>
    <t>店舗で発行したポイントのデータ(point_give_history, point_give_limitedテーブル)のcreate_user_idがお客様のid</t>
    <phoneticPr fontId="3"/>
  </si>
  <si>
    <t>マタニティで復会変更申請があげられない（立川北口）</t>
    <phoneticPr fontId="3"/>
  </si>
  <si>
    <t>HELPDESK-14259</t>
    <phoneticPr fontId="3"/>
  </si>
  <si>
    <t>HELPDESK-13966</t>
    <phoneticPr fontId="3"/>
  </si>
  <si>
    <t>FY19-225</t>
    <phoneticPr fontId="3"/>
  </si>
  <si>
    <t>無断キャンセルの表記がある</t>
    <phoneticPr fontId="3"/>
  </si>
  <si>
    <t>予約専用ページ：16thバナー【公開】のお願い（10/27）</t>
    <phoneticPr fontId="3"/>
  </si>
  <si>
    <t>FY19-195</t>
    <phoneticPr fontId="3"/>
  </si>
  <si>
    <t>【リプレイス】ヘルプマッチングシステム</t>
    <phoneticPr fontId="3"/>
  </si>
  <si>
    <t>SYSTEM-4438</t>
    <phoneticPr fontId="3"/>
  </si>
  <si>
    <t>SYSTEM-4499</t>
    <phoneticPr fontId="3"/>
  </si>
  <si>
    <t>在庫管理システムのエラーに関して（高槻店）</t>
    <phoneticPr fontId="3"/>
  </si>
  <si>
    <t>SYSTEM-4635</t>
    <phoneticPr fontId="3"/>
  </si>
  <si>
    <t xml:space="preserve"> 解約変更申請の期限日の変更</t>
    <phoneticPr fontId="3"/>
  </si>
  <si>
    <t>RM-148</t>
    <phoneticPr fontId="3"/>
  </si>
  <si>
    <t>SYSTEM-2292</t>
    <phoneticPr fontId="3"/>
  </si>
  <si>
    <t>SYSTEM-3032</t>
    <phoneticPr fontId="3"/>
  </si>
  <si>
    <t>【121～】予約専用サイト「LAVAアプリ」バナー追加のお願い_マーケG</t>
    <phoneticPr fontId="3"/>
  </si>
  <si>
    <t>【店ナビ】改修対応　Ver.1.2.2</t>
    <phoneticPr fontId="3"/>
  </si>
  <si>
    <t>SYSTEM-3313</t>
    <phoneticPr fontId="3"/>
  </si>
  <si>
    <t>1-1帳票出力エラー改修（POS区分：引換券）</t>
    <phoneticPr fontId="3"/>
  </si>
  <si>
    <t>SYSTEM-3753</t>
    <phoneticPr fontId="3"/>
  </si>
  <si>
    <t>SYSTEM-3704</t>
    <phoneticPr fontId="3"/>
  </si>
  <si>
    <t>FY19-224</t>
    <phoneticPr fontId="3"/>
  </si>
  <si>
    <t>【稼働可視化】月間稼働、案件稼働のの可視化をおこなう。</t>
    <phoneticPr fontId="3"/>
  </si>
  <si>
    <t>WEBENTRY-141</t>
    <phoneticPr fontId="3"/>
  </si>
  <si>
    <t>公開レスケの俗称対応</t>
    <phoneticPr fontId="3"/>
  </si>
  <si>
    <t>予約専用ページ：MGMアンケートバナー【差し替え】のご依頼（2/18)</t>
    <phoneticPr fontId="3"/>
  </si>
  <si>
    <t>SYSTEM-4776</t>
    <phoneticPr fontId="3"/>
  </si>
  <si>
    <t>SYSTEM-4715</t>
    <phoneticPr fontId="3"/>
  </si>
  <si>
    <t>SYSTEM-4791</t>
    <phoneticPr fontId="3"/>
  </si>
  <si>
    <t>2021/05</t>
  </si>
  <si>
    <t>口座名義変更ができない</t>
    <phoneticPr fontId="3"/>
  </si>
  <si>
    <t>FY19-97</t>
    <phoneticPr fontId="3"/>
  </si>
  <si>
    <t>SYSTEM-2979</t>
    <phoneticPr fontId="3"/>
  </si>
  <si>
    <t>SYSTEM-3413</t>
    <phoneticPr fontId="3"/>
  </si>
  <si>
    <t>SYSTEM-3380</t>
    <phoneticPr fontId="3"/>
  </si>
  <si>
    <t>FY19-196</t>
    <phoneticPr fontId="3"/>
  </si>
  <si>
    <t>FY19-189</t>
    <phoneticPr fontId="3"/>
  </si>
  <si>
    <t>【障害対応】(iOS)予約した際に、検索結果が２重表示される。</t>
    <phoneticPr fontId="3"/>
  </si>
  <si>
    <t>コロナ対応　ご継続感謝ポイントの付与　5月31日0時</t>
    <phoneticPr fontId="3"/>
  </si>
  <si>
    <t>【コロナ対応】解約金額表示画面に個別対応内容を表示する（旧解約金：更新バッチ）</t>
    <phoneticPr fontId="3"/>
  </si>
  <si>
    <t>【LAVA】東陽町店｜業務問合せフォーム（LAVAポイントの件）（東陽町店）</t>
    <phoneticPr fontId="3"/>
  </si>
  <si>
    <t>FY19-243</t>
    <phoneticPr fontId="3"/>
  </si>
  <si>
    <t>HELPDESK-13533</t>
    <phoneticPr fontId="3"/>
  </si>
  <si>
    <t>HELPDESK-13877</t>
    <phoneticPr fontId="3"/>
  </si>
  <si>
    <t>【障害】再入会した場合、新解約金テーブルの再入会月以降のデータが物理削除される</t>
    <phoneticPr fontId="3"/>
  </si>
  <si>
    <t>SYSTEM-3906</t>
    <phoneticPr fontId="3"/>
  </si>
  <si>
    <t>SYSTEM-3481</t>
    <phoneticPr fontId="3"/>
  </si>
  <si>
    <t>7月1日月初バッチの整理</t>
    <phoneticPr fontId="3"/>
  </si>
  <si>
    <t>アプリ│プログラムチャレンジスタンプラリー　新プログラム追加（201201）</t>
    <phoneticPr fontId="3"/>
  </si>
  <si>
    <t>SYSTEM-4567</t>
    <phoneticPr fontId="3"/>
  </si>
  <si>
    <t>SYSTEM-4589</t>
    <phoneticPr fontId="3"/>
  </si>
  <si>
    <t>予約専用ページ：採用バナー【画像差し替え】のお願い（2/18）</t>
    <phoneticPr fontId="3"/>
  </si>
  <si>
    <t>安心サポートを2月に新宿西口店で2つ所有している</t>
    <phoneticPr fontId="3"/>
  </si>
  <si>
    <t xml:space="preserve">予約専用ページ：MGMバナー【差し替え】のご依頼（4/22)
</t>
    <phoneticPr fontId="3"/>
  </si>
  <si>
    <t>予約専用ページ：LOSバナー【画像差し替え】のお願い（4/22）</t>
    <phoneticPr fontId="3"/>
  </si>
  <si>
    <t>【帳票2-3入金売上詳細】WEB入会時に入力したクーポン名を帳票に出していただきたい</t>
    <phoneticPr fontId="3"/>
  </si>
  <si>
    <t>SYSTEM-3126</t>
    <phoneticPr fontId="3"/>
  </si>
  <si>
    <t>SYSTEM-3275</t>
    <phoneticPr fontId="3"/>
  </si>
  <si>
    <t>lava-posで全件検索が発生</t>
    <phoneticPr fontId="3"/>
  </si>
  <si>
    <t>SYSTEM-3250</t>
    <phoneticPr fontId="3"/>
  </si>
  <si>
    <t>アプリ│バナー差替依頼（2002）</t>
    <phoneticPr fontId="3"/>
  </si>
  <si>
    <t>閉店統合　未来申請の取り下げ・再申請自動化</t>
    <phoneticPr fontId="3"/>
  </si>
  <si>
    <t>SYSTEM-3811</t>
    <phoneticPr fontId="3"/>
  </si>
  <si>
    <t>FY19-237</t>
    <phoneticPr fontId="3"/>
  </si>
  <si>
    <t>FY19-258</t>
    <phoneticPr fontId="3"/>
  </si>
  <si>
    <t>【15周年】お客様アンケート実施について</t>
    <phoneticPr fontId="3"/>
  </si>
  <si>
    <t>SYSTEM-4146</t>
    <phoneticPr fontId="3"/>
  </si>
  <si>
    <t>【FRONT】FRONTサーバのCPU高騰に関して</t>
    <phoneticPr fontId="3"/>
  </si>
  <si>
    <t>FY19-296</t>
    <phoneticPr fontId="3"/>
  </si>
  <si>
    <t>申請状況確認画面　実質月会費がおかしい（オプションマンスリー）</t>
    <phoneticPr fontId="3"/>
  </si>
  <si>
    <t>【社販】課税一覧に出力されない人が存在する。</t>
    <phoneticPr fontId="3"/>
  </si>
  <si>
    <t>SYSTEM-2450</t>
    <phoneticPr fontId="3"/>
  </si>
  <si>
    <t>【運用改善】納品確認画面の改修</t>
    <phoneticPr fontId="3"/>
  </si>
  <si>
    <t>アプリ│バナー差替依頼</t>
    <phoneticPr fontId="3"/>
  </si>
  <si>
    <t>SYSTEM-3236</t>
    <phoneticPr fontId="3"/>
  </si>
  <si>
    <t>スタッフ紹介で非紹介者に商品券（6000円）が２回発行された（野方店）</t>
    <phoneticPr fontId="3"/>
  </si>
  <si>
    <t>全店選択にオープン日未定店舗を表示させる</t>
    <phoneticPr fontId="3"/>
  </si>
  <si>
    <t>【仕様確認】ポイントの発行者の確認</t>
    <phoneticPr fontId="3"/>
  </si>
  <si>
    <t>SYSTEM-3543</t>
    <phoneticPr fontId="3"/>
  </si>
  <si>
    <t>SYSTEM-3552</t>
    <phoneticPr fontId="3"/>
  </si>
  <si>
    <t>SYSTEM-3666</t>
    <phoneticPr fontId="3"/>
  </si>
  <si>
    <t>FY19-205</t>
    <phoneticPr fontId="3"/>
  </si>
  <si>
    <t>トップイントラ2020対応</t>
    <phoneticPr fontId="3"/>
  </si>
  <si>
    <t>商業施設レポートDパターンPDF化</t>
    <phoneticPr fontId="3"/>
  </si>
  <si>
    <t>レスケメンテナンスエラー（イオンモールとなみ店）</t>
    <phoneticPr fontId="3"/>
  </si>
  <si>
    <t>SYSTEM-3388</t>
    <phoneticPr fontId="3"/>
  </si>
  <si>
    <t>SYSTEM-4042</t>
    <phoneticPr fontId="3"/>
  </si>
  <si>
    <t>【障害】期限切れポイント履歴テーブルにレコードが作成されない</t>
    <phoneticPr fontId="3"/>
  </si>
  <si>
    <t>SYSTEM-4132</t>
    <phoneticPr fontId="3"/>
  </si>
  <si>
    <t>【障害】ランクアマウント再計算バッチでランク計算結果に誤りがある</t>
    <phoneticPr fontId="3"/>
  </si>
  <si>
    <t>【フェーズ3】LAVA予約フォーム新規登録画面の改修（店舗検索UI変更）</t>
    <phoneticPr fontId="3"/>
  </si>
  <si>
    <t>予約専用ページ：うちヨガ＋バナー【差し替え】のお願い（2/18）</t>
    <phoneticPr fontId="3"/>
  </si>
  <si>
    <t>組み合わせ検索の開始時間を2400に設定して検索すると落ちる</t>
    <phoneticPr fontId="3"/>
  </si>
  <si>
    <t>再発防止策　レスケ公開処理の対象条件として『実行日＜公開終了日(open_end_date)』を加えることで、レッスンが公開されないようにする。</t>
    <phoneticPr fontId="3"/>
  </si>
  <si>
    <t>メルシー会員の復会申請の金額がおかしい</t>
    <phoneticPr fontId="3"/>
  </si>
  <si>
    <t>【店ナビ】改修対応　Ver.1.2.3</t>
    <phoneticPr fontId="3"/>
  </si>
  <si>
    <t>タブレット　登録エラー不備</t>
    <phoneticPr fontId="3"/>
  </si>
  <si>
    <t>SYSTEM-3535</t>
    <phoneticPr fontId="3"/>
  </si>
  <si>
    <t>HELPDESK-11721</t>
    <phoneticPr fontId="3"/>
  </si>
  <si>
    <t>SYSTEM-3507</t>
    <phoneticPr fontId="3"/>
  </si>
  <si>
    <t>SYSTEM-3671</t>
    <phoneticPr fontId="3"/>
  </si>
  <si>
    <t>FY19-228</t>
    <phoneticPr fontId="3"/>
  </si>
  <si>
    <t>SYSTEM-4386</t>
    <phoneticPr fontId="3"/>
  </si>
  <si>
    <t>【障害】受講処理後、アプリでカレンダーからレッスン検索した際に表示されるエラー</t>
    <phoneticPr fontId="3"/>
  </si>
  <si>
    <t>マンスリー会員にのみURLに独自のパラメーター を付与したい件</t>
    <phoneticPr fontId="3"/>
  </si>
  <si>
    <t>マイナスポイントの紐付きがおかしい</t>
    <phoneticPr fontId="3"/>
  </si>
  <si>
    <t>POS入会時にずっと割入会確認アラートを表示</t>
    <phoneticPr fontId="3"/>
  </si>
  <si>
    <t>レッスン予約の確認時の処理に同じレッスンの受講履歴がないかチェックを加える</t>
    <phoneticPr fontId="3"/>
  </si>
  <si>
    <t>返金データ　承認ステータスの一括更新</t>
    <phoneticPr fontId="3"/>
  </si>
  <si>
    <t>SYSTEM-4080</t>
    <phoneticPr fontId="3"/>
  </si>
  <si>
    <t>SYSTEM-4176</t>
    <phoneticPr fontId="3"/>
  </si>
  <si>
    <t>SYSTEM-4253</t>
    <phoneticPr fontId="3"/>
  </si>
  <si>
    <t>本部送付書類確定画面の確定ボタンを活性化</t>
    <phoneticPr fontId="3"/>
  </si>
  <si>
    <t>予約システムバナー設置(16周年FF特典の「ラプレ割引クーポン」のLPへ遷移)</t>
    <phoneticPr fontId="3"/>
  </si>
  <si>
    <t>SYSTEM-4237</t>
    <phoneticPr fontId="3"/>
  </si>
  <si>
    <t>SYSTEM-4675</t>
    <phoneticPr fontId="3"/>
  </si>
  <si>
    <t>FY19-306</t>
    <phoneticPr fontId="3"/>
  </si>
  <si>
    <t>SYSTEM-4783</t>
    <phoneticPr fontId="3"/>
  </si>
  <si>
    <t>SYSTEM-3204</t>
    <phoneticPr fontId="3"/>
  </si>
  <si>
    <t>【スタンプ遡及】マンスリー削除⇒マンスリー再購入⇒遡及バッチを行ったが、スタンプが付与されていない</t>
    <phoneticPr fontId="3"/>
  </si>
  <si>
    <t>ポイント履歴　Lapreでポイント使用した場合の表記</t>
    <phoneticPr fontId="3"/>
  </si>
  <si>
    <t>SYSTEM-3754</t>
    <phoneticPr fontId="3"/>
  </si>
  <si>
    <t>SYSTEM-3822</t>
    <phoneticPr fontId="3"/>
  </si>
  <si>
    <t>SYSTEM-4575</t>
    <phoneticPr fontId="3"/>
  </si>
  <si>
    <t>SYSTEM-4584</t>
    <phoneticPr fontId="3"/>
  </si>
  <si>
    <t>FY19-135</t>
    <phoneticPr fontId="3"/>
  </si>
  <si>
    <t>EMAIL-16</t>
    <phoneticPr fontId="3"/>
  </si>
  <si>
    <t>HELPDESK-12080</t>
    <phoneticPr fontId="3"/>
  </si>
  <si>
    <t>EMAIL-18</t>
    <phoneticPr fontId="3"/>
  </si>
  <si>
    <t>アプリログの出力をDB⇒ファイルに変更</t>
    <phoneticPr fontId="3"/>
  </si>
  <si>
    <t>SYSTEM-3361</t>
    <phoneticPr fontId="3"/>
  </si>
  <si>
    <t>1-15帳票　売上伝票作成条件変更</t>
    <phoneticPr fontId="3"/>
  </si>
  <si>
    <t>SYSTEM-3910</t>
    <phoneticPr fontId="3"/>
  </si>
  <si>
    <t>～7_2までのリリースおよびリカバリでポイント復旧していない問い合わせ一覧</t>
    <phoneticPr fontId="3"/>
  </si>
  <si>
    <t>返金申請フォームの閉鎖</t>
    <phoneticPr fontId="3"/>
  </si>
  <si>
    <t>SYSTEM-3655</t>
    <phoneticPr fontId="3"/>
  </si>
  <si>
    <t>SYSTEM-3662</t>
    <phoneticPr fontId="3"/>
  </si>
  <si>
    <t>予約専用ページ：うちヨガ＋バナー【差し替え】のお願い（1/22）</t>
    <phoneticPr fontId="3"/>
  </si>
  <si>
    <t xml:space="preserve">【12/30～】予約専用サイト新店MGMキャンペーンバナー出し分けのお願い </t>
    <phoneticPr fontId="3"/>
  </si>
  <si>
    <t>POSメンテ時のポイント</t>
    <phoneticPr fontId="3"/>
  </si>
  <si>
    <t>FY19-131</t>
    <phoneticPr fontId="3"/>
  </si>
  <si>
    <t>【コロナ対応】営業店舗への越境来店自粛表記</t>
    <phoneticPr fontId="3"/>
  </si>
  <si>
    <t>FY19-212</t>
    <phoneticPr fontId="3"/>
  </si>
  <si>
    <t>予約専用ページ：LOSバナー【画像差し替え】のお願い（8/26）</t>
    <phoneticPr fontId="3"/>
  </si>
  <si>
    <t>SYSTEM-4204</t>
    <phoneticPr fontId="3"/>
  </si>
  <si>
    <t>予約完了ページ：採用バナー【URL差し替え】のお願い（11/12）</t>
    <phoneticPr fontId="3"/>
  </si>
  <si>
    <t>【障害】ビンゴ遡及バッチでビンゴ数以上のポイントが付与される</t>
    <phoneticPr fontId="3"/>
  </si>
  <si>
    <t>aaa</t>
    <phoneticPr fontId="3"/>
  </si>
  <si>
    <t>【運用改善】裏在庫を月次棚卸日も保存できるようにしたい</t>
    <phoneticPr fontId="3"/>
  </si>
  <si>
    <t>【P&amp;C革命2.0残課題】サンクスメルシーずっと割会員の解約変更申請時にアラート表示</t>
    <phoneticPr fontId="3"/>
  </si>
  <si>
    <t>クレピコ口座還元データの取込処理修正</t>
    <phoneticPr fontId="3"/>
  </si>
  <si>
    <t>LOSポイントデータ取込エラー（LOS-200129358707743）</t>
    <phoneticPr fontId="3"/>
  </si>
  <si>
    <t>SYSTEM-3630</t>
    <phoneticPr fontId="3"/>
  </si>
  <si>
    <t>障害対応　特別招待券を持つ会員のチケット選択画面に表示されるレッスン内容が想定と違う</t>
    <phoneticPr fontId="3"/>
  </si>
  <si>
    <t>新規枠を増やそうとするとエラーになる（横須賀中央アネックス店）</t>
    <phoneticPr fontId="3"/>
  </si>
  <si>
    <t>SYSTEM-4373</t>
    <phoneticPr fontId="3"/>
  </si>
  <si>
    <t xml:space="preserve">MGMメンテナンス（小手指店） </t>
    <phoneticPr fontId="3"/>
  </si>
  <si>
    <t>特典発行アップロード画面の改修</t>
    <phoneticPr fontId="3"/>
  </si>
  <si>
    <t>SYSTEM-4651</t>
    <phoneticPr fontId="3"/>
  </si>
  <si>
    <t>管理-1</t>
    <phoneticPr fontId="3"/>
  </si>
  <si>
    <t>管理</t>
    <phoneticPr fontId="3"/>
  </si>
  <si>
    <t>管理-2</t>
    <phoneticPr fontId="3"/>
  </si>
  <si>
    <t>勤怠表記入・稼動表記入・出退勤メール</t>
    <phoneticPr fontId="3"/>
  </si>
  <si>
    <t>管理-4</t>
    <phoneticPr fontId="3"/>
  </si>
  <si>
    <t>（予備）旧全体ミーティング</t>
    <phoneticPr fontId="3"/>
  </si>
  <si>
    <t>管理-5</t>
    <phoneticPr fontId="3"/>
  </si>
  <si>
    <t>管理-6</t>
    <phoneticPr fontId="3"/>
  </si>
  <si>
    <t>その他</t>
    <phoneticPr fontId="3"/>
  </si>
  <si>
    <t>管理-7</t>
    <phoneticPr fontId="3"/>
  </si>
  <si>
    <t>管理-8</t>
    <phoneticPr fontId="3"/>
  </si>
  <si>
    <t>（予備）旧ドキュメント整理</t>
    <phoneticPr fontId="3"/>
  </si>
  <si>
    <t>（予備）旧機能試験</t>
    <phoneticPr fontId="3"/>
  </si>
  <si>
    <t>調査</t>
    <phoneticPr fontId="3"/>
  </si>
  <si>
    <t>環境整備</t>
    <phoneticPr fontId="3"/>
  </si>
  <si>
    <t>管理-12</t>
    <phoneticPr fontId="3"/>
  </si>
  <si>
    <t>（予備）</t>
    <phoneticPr fontId="3"/>
  </si>
  <si>
    <t>管理-14</t>
    <phoneticPr fontId="3"/>
  </si>
  <si>
    <t>月次報告</t>
    <phoneticPr fontId="3"/>
  </si>
  <si>
    <t>管理-15</t>
    <phoneticPr fontId="3"/>
  </si>
  <si>
    <t>（予備）旧DB管理</t>
    <phoneticPr fontId="3"/>
  </si>
  <si>
    <t>管理-16</t>
    <phoneticPr fontId="3"/>
  </si>
  <si>
    <t>（予備）旧リリース影響調査</t>
    <phoneticPr fontId="3"/>
  </si>
  <si>
    <t>管理-17</t>
    <phoneticPr fontId="3"/>
  </si>
  <si>
    <t>管理-18</t>
    <phoneticPr fontId="3"/>
  </si>
  <si>
    <t>管理-19</t>
    <phoneticPr fontId="3"/>
  </si>
  <si>
    <t>作業予定管理</t>
    <phoneticPr fontId="3"/>
  </si>
  <si>
    <t>管理-20</t>
    <phoneticPr fontId="3"/>
  </si>
  <si>
    <t>管理-22</t>
    <phoneticPr fontId="3"/>
  </si>
  <si>
    <t>管理-24</t>
    <phoneticPr fontId="3"/>
  </si>
  <si>
    <t>管理-25</t>
    <phoneticPr fontId="3"/>
  </si>
  <si>
    <t>管理-28</t>
    <phoneticPr fontId="3"/>
  </si>
  <si>
    <t>管理-29</t>
    <phoneticPr fontId="3"/>
  </si>
  <si>
    <t>案件-3</t>
    <phoneticPr fontId="3"/>
  </si>
  <si>
    <t>品質管理</t>
    <phoneticPr fontId="3"/>
  </si>
  <si>
    <t>日次報告項目算出の自動化</t>
    <phoneticPr fontId="3"/>
  </si>
  <si>
    <t>SYSTEM-588</t>
    <phoneticPr fontId="3"/>
  </si>
  <si>
    <t>レスケマッチング</t>
    <phoneticPr fontId="3"/>
  </si>
  <si>
    <t>アプリ_AWS_MAI-1</t>
    <phoneticPr fontId="3"/>
  </si>
  <si>
    <t>SYSTEM-849</t>
    <phoneticPr fontId="3"/>
  </si>
  <si>
    <t>ビューティーサービスCSアンケート</t>
    <phoneticPr fontId="3"/>
  </si>
  <si>
    <t>SYSTEM-982</t>
    <phoneticPr fontId="3"/>
  </si>
  <si>
    <t>解約理由項目追加</t>
    <phoneticPr fontId="3"/>
  </si>
  <si>
    <t>電子化</t>
    <phoneticPr fontId="3"/>
  </si>
  <si>
    <t>契約終了ロジックの変更</t>
    <phoneticPr fontId="3"/>
  </si>
  <si>
    <t>SEASON4-33</t>
    <phoneticPr fontId="3"/>
  </si>
  <si>
    <t>リアルタイムキャンセル機能</t>
    <phoneticPr fontId="3"/>
  </si>
  <si>
    <t>SEASON4-59</t>
    <phoneticPr fontId="3"/>
  </si>
  <si>
    <t>未払い督促方法の変更</t>
    <phoneticPr fontId="3"/>
  </si>
  <si>
    <t>IRの指名検索機能</t>
    <phoneticPr fontId="3"/>
  </si>
  <si>
    <t>SEASON4-106</t>
    <phoneticPr fontId="3"/>
  </si>
  <si>
    <t>通常業務支援-01</t>
    <phoneticPr fontId="3"/>
  </si>
  <si>
    <t>京都三条対応</t>
    <phoneticPr fontId="3"/>
  </si>
  <si>
    <t>在庫管理表の項目追加（移送否認・本部メンテ）</t>
    <phoneticPr fontId="3"/>
  </si>
  <si>
    <t>帳票</t>
    <phoneticPr fontId="3"/>
  </si>
  <si>
    <t>SEASON4-65</t>
    <phoneticPr fontId="3"/>
  </si>
  <si>
    <t>SEASON4-61_95</t>
    <phoneticPr fontId="3"/>
  </si>
  <si>
    <t>住所不備アラート</t>
    <phoneticPr fontId="3"/>
  </si>
  <si>
    <t>SYSTEM-1046</t>
    <phoneticPr fontId="3"/>
  </si>
  <si>
    <t>Sスタレッスンの表示ズレ対応</t>
    <phoneticPr fontId="3"/>
  </si>
  <si>
    <t>SYSTEM-1254</t>
    <phoneticPr fontId="3"/>
  </si>
  <si>
    <t>会員様向けＭＧＭキャンペーンについて</t>
    <phoneticPr fontId="3"/>
  </si>
  <si>
    <t>SEASON4-64</t>
    <phoneticPr fontId="3"/>
  </si>
  <si>
    <t>SEASON4-107</t>
    <phoneticPr fontId="3"/>
  </si>
  <si>
    <t>対応中案件のデフォルト値変更</t>
    <phoneticPr fontId="3"/>
  </si>
  <si>
    <t>SEASON4-134</t>
    <phoneticPr fontId="3"/>
  </si>
  <si>
    <t>銀行口座（強制フラグ）</t>
    <phoneticPr fontId="3"/>
  </si>
  <si>
    <t>SYSTEM-1273</t>
    <phoneticPr fontId="3"/>
  </si>
  <si>
    <t>キャンセル待ち予約順位のリストについて</t>
    <phoneticPr fontId="3"/>
  </si>
  <si>
    <t>SEASON4-21</t>
    <phoneticPr fontId="3"/>
  </si>
  <si>
    <t>書類不備についての告知</t>
    <phoneticPr fontId="3"/>
  </si>
  <si>
    <t>SYSTEM-1291</t>
    <phoneticPr fontId="3"/>
  </si>
  <si>
    <t>栄店対応</t>
    <phoneticPr fontId="3"/>
  </si>
  <si>
    <t>DDOC-113</t>
    <phoneticPr fontId="3"/>
  </si>
  <si>
    <t>顔写真機能追加</t>
    <phoneticPr fontId="3"/>
  </si>
  <si>
    <t>SEASON4-4</t>
    <phoneticPr fontId="3"/>
  </si>
  <si>
    <t>SEASON4-131</t>
    <phoneticPr fontId="3"/>
  </si>
  <si>
    <t>オプションマンスリーのみ所有者のチケットを終了させる</t>
    <phoneticPr fontId="3"/>
  </si>
  <si>
    <t>POS画面のPパスポート確認</t>
    <phoneticPr fontId="3"/>
  </si>
  <si>
    <t>DDOC-127</t>
    <phoneticPr fontId="3"/>
  </si>
  <si>
    <t>SYSTEM-1375</t>
    <phoneticPr fontId="3"/>
  </si>
  <si>
    <t>女性専用スタジオの予約制御</t>
    <phoneticPr fontId="3"/>
  </si>
  <si>
    <t>1-14当月売上詳細(マンスリー途中解約者未計上分)</t>
    <phoneticPr fontId="3"/>
  </si>
  <si>
    <t>SYSTEM-1315</t>
    <phoneticPr fontId="3"/>
  </si>
  <si>
    <t>クーポン読みかえ_水素水バッグ</t>
    <phoneticPr fontId="3"/>
  </si>
  <si>
    <t>SEASON4-37</t>
    <phoneticPr fontId="3"/>
  </si>
  <si>
    <t>個人情報変更履歴管理機能</t>
    <phoneticPr fontId="3"/>
  </si>
  <si>
    <t>SYSTEM-1420</t>
    <phoneticPr fontId="3"/>
  </si>
  <si>
    <t>口座情報の整理について</t>
    <phoneticPr fontId="3"/>
  </si>
  <si>
    <t>SYSTEM-1212</t>
    <phoneticPr fontId="3"/>
  </si>
  <si>
    <t>【帳票】LOSの売上集計をシステム化したい</t>
    <phoneticPr fontId="3"/>
  </si>
  <si>
    <t>SEASON4-156</t>
    <phoneticPr fontId="3"/>
  </si>
  <si>
    <t>仮名：帳票仕様書（8月次一覧表読込用）</t>
    <phoneticPr fontId="3"/>
  </si>
  <si>
    <t>SEASON4-141</t>
    <phoneticPr fontId="3"/>
  </si>
  <si>
    <t>Web 新規会員登録のCVフロー変更</t>
    <phoneticPr fontId="3"/>
  </si>
  <si>
    <t>SYSTEM-1464</t>
    <phoneticPr fontId="3"/>
  </si>
  <si>
    <t>請求口座が物理削除されている</t>
    <phoneticPr fontId="3"/>
  </si>
  <si>
    <t>SYSTEM-1458</t>
    <phoneticPr fontId="3"/>
  </si>
  <si>
    <t>仮名：レッスンスタジオの表示</t>
    <phoneticPr fontId="3"/>
  </si>
  <si>
    <t>SYSTEM-1528</t>
    <phoneticPr fontId="3"/>
  </si>
  <si>
    <t>【FY18_CSアンケート】アンケート内容変更　(2018年4月1日受講分～)</t>
    <phoneticPr fontId="3"/>
  </si>
  <si>
    <t>SYSTEM-1544</t>
    <phoneticPr fontId="3"/>
  </si>
  <si>
    <t>累計受講回数の表示(マーケG)</t>
    <phoneticPr fontId="3"/>
  </si>
  <si>
    <t>SEASON4-137</t>
    <phoneticPr fontId="3"/>
  </si>
  <si>
    <t>SEASON4-174</t>
    <phoneticPr fontId="3"/>
  </si>
  <si>
    <t>Web入会の会員に体験予約リマインドメールが送信される</t>
    <phoneticPr fontId="3"/>
  </si>
  <si>
    <t>調査依頼：web入会でチケット付与されていないお客様がいます</t>
    <phoneticPr fontId="3"/>
  </si>
  <si>
    <t>SYSTEM-1605</t>
    <phoneticPr fontId="3"/>
  </si>
  <si>
    <t>貸倒データの取込</t>
    <phoneticPr fontId="3"/>
  </si>
  <si>
    <t>SYSTEM-1246</t>
    <phoneticPr fontId="3"/>
  </si>
  <si>
    <t xml:space="preserve">LOS・基幹システムの外部連携（MDG） </t>
    <phoneticPr fontId="3"/>
  </si>
  <si>
    <t>SYSTEM-1588</t>
    <phoneticPr fontId="3"/>
  </si>
  <si>
    <t>トップIRページからの予約をカウント対象に含める</t>
    <phoneticPr fontId="3"/>
  </si>
  <si>
    <t>SYSTEM-1586</t>
    <phoneticPr fontId="3"/>
  </si>
  <si>
    <t>各種検索結果に開催スタジオを表記</t>
    <phoneticPr fontId="3"/>
  </si>
  <si>
    <t>SEASON5-3</t>
    <phoneticPr fontId="3"/>
  </si>
  <si>
    <t>SEASON5-1</t>
    <phoneticPr fontId="3"/>
  </si>
  <si>
    <t>予約回数、性別をキーにした予約</t>
    <phoneticPr fontId="3"/>
  </si>
  <si>
    <t>WEB入会来店リマインドメール</t>
    <phoneticPr fontId="3"/>
  </si>
  <si>
    <t>組合せ検索の結果に開催スタジオを表記</t>
    <phoneticPr fontId="3"/>
  </si>
  <si>
    <t>SYSTEM-1587</t>
    <phoneticPr fontId="3"/>
  </si>
  <si>
    <t>SYSTEM-1603</t>
    <phoneticPr fontId="3"/>
  </si>
  <si>
    <t>8か月縛りのWeb入会プランの本日発行対応</t>
    <phoneticPr fontId="3"/>
  </si>
  <si>
    <t>【自動配信メール】全店_手ぶら体験について（マーケG）</t>
    <phoneticPr fontId="3"/>
  </si>
  <si>
    <t>解約届出書の余白に画像やQRコードを出したい(再登録施策について)(マーケG)</t>
    <phoneticPr fontId="3"/>
  </si>
  <si>
    <t>SYSTEM-1513</t>
    <phoneticPr fontId="3"/>
  </si>
  <si>
    <t>SYSTEM-1520</t>
    <phoneticPr fontId="3"/>
  </si>
  <si>
    <t>トップIRの氏名の前に王冠マークを入れたい</t>
    <phoneticPr fontId="3"/>
  </si>
  <si>
    <t>FY18-7</t>
    <phoneticPr fontId="3"/>
  </si>
  <si>
    <t>レスケ集計項目追加</t>
    <phoneticPr fontId="3"/>
  </si>
  <si>
    <t>SYSTEM-1713</t>
    <phoneticPr fontId="3"/>
  </si>
  <si>
    <t>【保守案件】タブレット　体験の個人情報規約に文章を追加</t>
    <phoneticPr fontId="3"/>
  </si>
  <si>
    <t>コールセンター引越し対応（問い合わせ先）</t>
    <phoneticPr fontId="3"/>
  </si>
  <si>
    <t>30％を超える社販スタート</t>
    <phoneticPr fontId="3"/>
  </si>
  <si>
    <t>Web入会フェーズ3(11月リリース：既存店対応他)</t>
    <phoneticPr fontId="3"/>
  </si>
  <si>
    <t>SYSTEM-1512</t>
    <phoneticPr fontId="3"/>
  </si>
  <si>
    <t>HKシステム入れ替えによる基幹システムへの影響</t>
    <phoneticPr fontId="3"/>
  </si>
  <si>
    <t>SYSTEM-1807</t>
    <phoneticPr fontId="3"/>
  </si>
  <si>
    <t>FY18-9</t>
    <phoneticPr fontId="3"/>
  </si>
  <si>
    <t>パーソナルレッスンの管理</t>
    <phoneticPr fontId="3"/>
  </si>
  <si>
    <t>SYSTEM-1823</t>
    <phoneticPr fontId="3"/>
  </si>
  <si>
    <t>SYSTEM-1618</t>
    <phoneticPr fontId="3"/>
  </si>
  <si>
    <t>SYSTEM-1780</t>
    <phoneticPr fontId="3"/>
  </si>
  <si>
    <t>【帳票】1-4当月売上詳細(マンスリー全契約者)_当月来店日数の追加</t>
    <phoneticPr fontId="3"/>
  </si>
  <si>
    <t>SYSTEM-1878</t>
    <phoneticPr fontId="3"/>
  </si>
  <si>
    <t>口座不備だが、引き落としできた場合の旧口座ステータス変更処理</t>
    <phoneticPr fontId="3"/>
  </si>
  <si>
    <t>FY18-11</t>
    <phoneticPr fontId="3"/>
  </si>
  <si>
    <t>SYSTEM-1709</t>
    <phoneticPr fontId="3"/>
  </si>
  <si>
    <t>SYSTEM-1824</t>
    <phoneticPr fontId="3"/>
  </si>
  <si>
    <t>レジ日報出力</t>
    <phoneticPr fontId="3"/>
  </si>
  <si>
    <t>SYSTEM-1853</t>
    <phoneticPr fontId="3"/>
  </si>
  <si>
    <t>コンバージョンタグによる計測ができていない</t>
    <phoneticPr fontId="3"/>
  </si>
  <si>
    <t>Web入会の申込完了メールと初回レッスン予約完了メールからレンタルウェアの無料を撤廃(マーケG)</t>
    <phoneticPr fontId="3"/>
  </si>
  <si>
    <t>SYSTEM-1880</t>
    <phoneticPr fontId="3"/>
  </si>
  <si>
    <t>棚卸を実行したが保存されていないとの声がある</t>
    <phoneticPr fontId="3"/>
  </si>
  <si>
    <t>HELPDESK-990</t>
    <phoneticPr fontId="3"/>
  </si>
  <si>
    <t>アンケート　Q1-5とQ1-6だけ選択ができない</t>
    <phoneticPr fontId="3"/>
  </si>
  <si>
    <t>SEASON4-157</t>
    <phoneticPr fontId="3"/>
  </si>
  <si>
    <t>【帳票】1-13KPI算出元データ(翌月スタートマンスリー全契約者)_当月来店日数の追加</t>
    <phoneticPr fontId="3"/>
  </si>
  <si>
    <t>SYSTEM-1730</t>
    <phoneticPr fontId="3"/>
  </si>
  <si>
    <t>【保守案件】請求口座　データ不備対応（無効の口座なのに有効になっている）</t>
    <phoneticPr fontId="3"/>
  </si>
  <si>
    <t>【回答依頼】システムG：719(木)まで：ログイン時エラーメッセージについて(CC札幌)</t>
    <phoneticPr fontId="3"/>
  </si>
  <si>
    <t>配布用レスケのリニューアル</t>
    <phoneticPr fontId="3"/>
  </si>
  <si>
    <t>予約サイトからLOS会員登録して貰うための機能追加（MDG）</t>
    <phoneticPr fontId="3"/>
  </si>
  <si>
    <t>FY18-19</t>
    <phoneticPr fontId="3"/>
  </si>
  <si>
    <t>FY18-40</t>
    <phoneticPr fontId="3"/>
  </si>
  <si>
    <t>10分ヨガ表記の追加（予約確認、予約状況）</t>
    <phoneticPr fontId="3"/>
  </si>
  <si>
    <t>在庫管理表を開くとエラー表示される</t>
    <phoneticPr fontId="3"/>
  </si>
  <si>
    <t>FY18-42</t>
    <phoneticPr fontId="3"/>
  </si>
  <si>
    <t>ラヴァ→ラバ表記に変更</t>
    <phoneticPr fontId="3"/>
  </si>
  <si>
    <t>FY18-27</t>
    <phoneticPr fontId="3"/>
  </si>
  <si>
    <t>IVR導入に伴うCC営業時間変更</t>
    <phoneticPr fontId="3"/>
  </si>
  <si>
    <t>SYSTEM-2024</t>
    <phoneticPr fontId="3"/>
  </si>
  <si>
    <t>基幹システムのWin10対応</t>
    <phoneticPr fontId="3"/>
  </si>
  <si>
    <t>リブランディング関係</t>
    <phoneticPr fontId="3"/>
  </si>
  <si>
    <t>各種メール送信エラーの対応</t>
    <phoneticPr fontId="3"/>
  </si>
  <si>
    <t>SYSTEM-1997</t>
    <phoneticPr fontId="3"/>
  </si>
  <si>
    <t>FY18-63</t>
    <phoneticPr fontId="3"/>
  </si>
  <si>
    <t>【LINE】ID連携の更新処理時にUPDATE日付が更新されない。</t>
    <phoneticPr fontId="3"/>
  </si>
  <si>
    <t>【LINE】キャンセル時にキャンセルメールが送信されない。</t>
    <phoneticPr fontId="3"/>
  </si>
  <si>
    <t>予約システムからマスターレッスンの表記を削除</t>
    <phoneticPr fontId="3"/>
  </si>
  <si>
    <t>FY18-58</t>
    <phoneticPr fontId="3"/>
  </si>
  <si>
    <t>Web入会永久割・特別月額定価月額表示制御</t>
    <phoneticPr fontId="3"/>
  </si>
  <si>
    <t>SYSTEM-2031</t>
    <phoneticPr fontId="3"/>
  </si>
  <si>
    <t>福岡中洲店閉店</t>
    <phoneticPr fontId="3"/>
  </si>
  <si>
    <t>DDOC-147</t>
    <phoneticPr fontId="3"/>
  </si>
  <si>
    <t>解約変更一覧画面</t>
    <phoneticPr fontId="3"/>
  </si>
  <si>
    <t>DDOC-146</t>
    <phoneticPr fontId="3"/>
  </si>
  <si>
    <t>DDOC-140</t>
    <phoneticPr fontId="3"/>
  </si>
  <si>
    <t>解約アンケート集計</t>
    <phoneticPr fontId="3"/>
  </si>
  <si>
    <t>DDOC-148</t>
    <phoneticPr fontId="3"/>
  </si>
  <si>
    <t>FY18-47</t>
    <phoneticPr fontId="3"/>
  </si>
  <si>
    <t>LAVA Life Vol.29(9月11日日発行）　アンケート設定のお願い</t>
    <phoneticPr fontId="3"/>
  </si>
  <si>
    <t>SYSTEM-1948</t>
    <phoneticPr fontId="3"/>
  </si>
  <si>
    <t>SYSTEM-1971</t>
    <phoneticPr fontId="3"/>
  </si>
  <si>
    <t>フロントシステム　会員詳細を表示のデフォルトチェックについて</t>
    <phoneticPr fontId="3"/>
  </si>
  <si>
    <t>配布用レスケ積み残し対応</t>
    <phoneticPr fontId="3"/>
  </si>
  <si>
    <t>会員証テプラの保険マンスリー対応</t>
    <phoneticPr fontId="3"/>
  </si>
  <si>
    <t>【LINE】MGM（お友達招待）追加</t>
    <phoneticPr fontId="3"/>
  </si>
  <si>
    <t>予約・受講管理画面＠フロントシステムに会員証テプラ印刷ボタンを配置する</t>
    <phoneticPr fontId="3"/>
  </si>
  <si>
    <t>FY18-52</t>
    <phoneticPr fontId="3"/>
  </si>
  <si>
    <t>会員証印刷歴のステータス追加「再」</t>
    <phoneticPr fontId="3"/>
  </si>
  <si>
    <t>オプションマンスリー追加に伴う帳票の改修</t>
    <phoneticPr fontId="3"/>
  </si>
  <si>
    <t>SYSTEM-2035</t>
    <phoneticPr fontId="3"/>
  </si>
  <si>
    <t>WEB予約　ハイパーナイフのリンク変更</t>
    <phoneticPr fontId="3"/>
  </si>
  <si>
    <t>SYSTEM-1896</t>
    <phoneticPr fontId="3"/>
  </si>
  <si>
    <t>DDOC-152</t>
    <phoneticPr fontId="3"/>
  </si>
  <si>
    <t>SYSTEM-2078</t>
    <phoneticPr fontId="3"/>
  </si>
  <si>
    <t>FY18-70</t>
    <phoneticPr fontId="3"/>
  </si>
  <si>
    <t>【課税一覧】出力仕様不具合</t>
    <phoneticPr fontId="3"/>
  </si>
  <si>
    <t>FY18 振返CP対応</t>
    <phoneticPr fontId="3"/>
  </si>
  <si>
    <t>SYSTEM-2088</t>
    <phoneticPr fontId="3"/>
  </si>
  <si>
    <t>FY18-66</t>
    <phoneticPr fontId="3"/>
  </si>
  <si>
    <t>店舗価格変更11月1日～</t>
    <phoneticPr fontId="3"/>
  </si>
  <si>
    <t>パーソナルヨガキャンセル料発生の案内</t>
    <phoneticPr fontId="3"/>
  </si>
  <si>
    <t>バースデー特典の自動発行対象から「未払いあり」のお客様を除外する</t>
    <phoneticPr fontId="3"/>
  </si>
  <si>
    <t>クレジット決済方法変更</t>
    <phoneticPr fontId="3"/>
  </si>
  <si>
    <t>SYSTEM-2025</t>
    <phoneticPr fontId="3"/>
  </si>
  <si>
    <t>体験予約時の来店時間の表記(マーケG)</t>
    <phoneticPr fontId="3"/>
  </si>
  <si>
    <t>FY18-61</t>
    <phoneticPr fontId="3"/>
  </si>
  <si>
    <t>固定枠改修要望</t>
    <phoneticPr fontId="3"/>
  </si>
  <si>
    <t>FY18-80</t>
    <phoneticPr fontId="3"/>
  </si>
  <si>
    <t>配布用レスケ　マタニティ対応</t>
    <phoneticPr fontId="3"/>
  </si>
  <si>
    <t>回答意思が「あり」だが、解約理由画面で回答結果が表示されない</t>
    <phoneticPr fontId="3"/>
  </si>
  <si>
    <t>FY18-60</t>
    <phoneticPr fontId="3"/>
  </si>
  <si>
    <t>FY18-78</t>
    <phoneticPr fontId="3"/>
  </si>
  <si>
    <t>変更後チケットの適用開始月が、CP縛り終了月の会員様について</t>
    <phoneticPr fontId="3"/>
  </si>
  <si>
    <t>【帳票改修】10WEB入会申込者一覧への追加項目について</t>
    <phoneticPr fontId="3"/>
  </si>
  <si>
    <t>予約専用ページMGMバナー差し替えの依頼：11月分（マーケG）</t>
    <phoneticPr fontId="3"/>
  </si>
  <si>
    <t>SYSTEM-2110</t>
    <phoneticPr fontId="3"/>
  </si>
  <si>
    <t>SYSTEM-2109</t>
    <phoneticPr fontId="3"/>
  </si>
  <si>
    <t>店舗フロントシステム　エラーメッセージ文言修正</t>
    <phoneticPr fontId="3"/>
  </si>
  <si>
    <t>LAVAFESTAイベント告知バナー予約ページに設置(マーケG)</t>
    <phoneticPr fontId="3"/>
  </si>
  <si>
    <t>SYSTEM-2217</t>
    <phoneticPr fontId="3"/>
  </si>
  <si>
    <t>SYSTEM-2184</t>
    <phoneticPr fontId="3"/>
  </si>
  <si>
    <t>NEWタブレット　検証</t>
    <phoneticPr fontId="3"/>
  </si>
  <si>
    <t>DDOC-156</t>
    <phoneticPr fontId="3"/>
  </si>
  <si>
    <t>変更届出書　注意文言変更</t>
    <phoneticPr fontId="3"/>
  </si>
  <si>
    <t>HR 既存障害対応</t>
    <phoneticPr fontId="3"/>
  </si>
  <si>
    <t>SYSTEM-2094</t>
    <phoneticPr fontId="3"/>
  </si>
  <si>
    <t>10分ヨガ プログラム名の選択</t>
    <phoneticPr fontId="3"/>
  </si>
  <si>
    <t>SYSTEM-2221</t>
    <phoneticPr fontId="3"/>
  </si>
  <si>
    <t>メイン店舗が池袋東口店の方のフリカエ申込</t>
    <phoneticPr fontId="3"/>
  </si>
  <si>
    <t>リブランディングに伴う商品読み替え作業　１２月から</t>
    <phoneticPr fontId="3"/>
  </si>
  <si>
    <t>カウンセリング取消　翌月適用申請が上げられない</t>
    <phoneticPr fontId="3"/>
  </si>
  <si>
    <t>DDOC-160</t>
    <phoneticPr fontId="3"/>
  </si>
  <si>
    <t>解約不可期間解約　解約タイプの選択が必須ではない</t>
    <phoneticPr fontId="3"/>
  </si>
  <si>
    <t>SYSTEM-2154</t>
    <phoneticPr fontId="3"/>
  </si>
  <si>
    <t>商業施設売上報告書改修依頼（安心オプションマンスリー売上追加）</t>
    <phoneticPr fontId="3"/>
  </si>
  <si>
    <t>SYSTEM-2096</t>
    <phoneticPr fontId="3"/>
  </si>
  <si>
    <t>SYSTEM-2176</t>
    <phoneticPr fontId="3"/>
  </si>
  <si>
    <t>レシートプリンター検証</t>
    <phoneticPr fontId="3"/>
  </si>
  <si>
    <t>SYSTEM-2230</t>
    <phoneticPr fontId="3"/>
  </si>
  <si>
    <t>DDOC-159</t>
    <phoneticPr fontId="3"/>
  </si>
  <si>
    <t>マンスリー変更と解約申請が一緒に申請できるようになっている</t>
    <phoneticPr fontId="3"/>
  </si>
  <si>
    <t>【LINE】ID連携500円券付与対応 ＜設計開発＞</t>
    <phoneticPr fontId="3"/>
  </si>
  <si>
    <t>FY18-124</t>
    <phoneticPr fontId="3"/>
  </si>
  <si>
    <t>クレジットカード情報登録画面でのログ強化</t>
    <phoneticPr fontId="3"/>
  </si>
  <si>
    <t>プラス１初回設定で「渋谷クロスタワー店」を出さないようにする。</t>
    <phoneticPr fontId="3"/>
  </si>
  <si>
    <t>FY18-175</t>
    <phoneticPr fontId="3"/>
  </si>
  <si>
    <t>来店きっかけ項目追加</t>
    <phoneticPr fontId="3"/>
  </si>
  <si>
    <t>SYSTEM-2240</t>
    <phoneticPr fontId="3"/>
  </si>
  <si>
    <t>2019年1月・2月オープン店舗WEB入会プラン（マーケG）</t>
    <phoneticPr fontId="3"/>
  </si>
  <si>
    <t>SYSTEM-2236</t>
    <phoneticPr fontId="3"/>
  </si>
  <si>
    <t>障害確認依頼【14周年】フリカエ申込対象外者にフリカエ申込ボタンが表示されている</t>
    <phoneticPr fontId="3"/>
  </si>
  <si>
    <t>SYSTEM-2117</t>
    <phoneticPr fontId="3"/>
  </si>
  <si>
    <t>予約完了メールにLINEでもキャンセルできるご案内を入れたい（CC）</t>
    <phoneticPr fontId="3"/>
  </si>
  <si>
    <t>商業施設売上報告書の売り上げ集計に関して</t>
    <phoneticPr fontId="3"/>
  </si>
  <si>
    <t>FY18-158</t>
    <phoneticPr fontId="3"/>
  </si>
  <si>
    <t>フリカエ申請者のコース変更時の縛り期間</t>
    <phoneticPr fontId="3"/>
  </si>
  <si>
    <t>オープン日未定の新店でのWeb入会仮登録_要件定義(LAVA)</t>
    <phoneticPr fontId="3"/>
  </si>
  <si>
    <t>SYSTEM-2280</t>
    <phoneticPr fontId="3"/>
  </si>
  <si>
    <t>プラス１店舗初回設定時のアラート</t>
    <phoneticPr fontId="3"/>
  </si>
  <si>
    <t>【依頼】LAVA Life vol.30アンケート依頼</t>
    <phoneticPr fontId="3"/>
  </si>
  <si>
    <t>FY18-177</t>
    <phoneticPr fontId="3"/>
  </si>
  <si>
    <t>商品読替作業　１月から</t>
    <phoneticPr fontId="3"/>
  </si>
  <si>
    <t>全店レッスン通い放題直後に予約状況表に1回券の支払い表示が出る(青葉台店：かたやまさん)</t>
    <phoneticPr fontId="3"/>
  </si>
  <si>
    <t>DDOC-164</t>
    <phoneticPr fontId="3"/>
  </si>
  <si>
    <t>カウンセリングシート　項目追加（201811要望）</t>
    <phoneticPr fontId="3"/>
  </si>
  <si>
    <t>SYSTEM-2343</t>
    <phoneticPr fontId="3"/>
  </si>
  <si>
    <t>SYSTEM-2390</t>
    <phoneticPr fontId="3"/>
  </si>
  <si>
    <t>移送受入完了メールと移送受入否認メールの移送先担当者名を修正する</t>
    <phoneticPr fontId="3"/>
  </si>
  <si>
    <t>SYSTEM-2373</t>
    <phoneticPr fontId="3"/>
  </si>
  <si>
    <t>返金伝票登録画面にて、戻るボタン押下時に入力チェックが発生しないようにする。</t>
    <phoneticPr fontId="3"/>
  </si>
  <si>
    <t>SYSTEM-2366</t>
    <phoneticPr fontId="3"/>
  </si>
  <si>
    <t>初期カーソル位置が未設定の画面に初期カーソルを設定する</t>
    <phoneticPr fontId="3"/>
  </si>
  <si>
    <t>商業施設テストメール配信の仕様変更について</t>
    <phoneticPr fontId="3"/>
  </si>
  <si>
    <t>【在庫システム】店舗名が切れて表示される</t>
    <phoneticPr fontId="3"/>
  </si>
  <si>
    <t>【本部システム】メール注釈の設定欄の追加</t>
    <phoneticPr fontId="3"/>
  </si>
  <si>
    <t>DDOC-163</t>
    <phoneticPr fontId="3"/>
  </si>
  <si>
    <t>【アルバイトレッスンFee】＜120分180分WSの追加＞</t>
    <phoneticPr fontId="3"/>
  </si>
  <si>
    <t>FY18-86</t>
    <phoneticPr fontId="3"/>
  </si>
  <si>
    <t>SYSTEM-2283</t>
    <phoneticPr fontId="3"/>
  </si>
  <si>
    <t>店頭受付永久割のお客様へのWEBフラグ付与</t>
    <phoneticPr fontId="3"/>
  </si>
  <si>
    <t>SYSTEM-2389</t>
    <phoneticPr fontId="3"/>
  </si>
  <si>
    <t>SYSTEM-2380</t>
    <phoneticPr fontId="3"/>
  </si>
  <si>
    <t>ログイン画面にDB接続先情報を表示した（予約システムを除く）</t>
    <phoneticPr fontId="3"/>
  </si>
  <si>
    <t>INF-70</t>
    <phoneticPr fontId="3"/>
  </si>
  <si>
    <t>FY18-176</t>
    <phoneticPr fontId="3"/>
  </si>
  <si>
    <t>配布用レスケ　仕様変更（相互利用店舗表示時の罫線の太さ）</t>
    <phoneticPr fontId="3"/>
  </si>
  <si>
    <t>SYSTEM-2379</t>
    <phoneticPr fontId="3"/>
  </si>
  <si>
    <t>請求住所確認ダイアログにおいて、番地・建物名が登録されていない場合の住所の表示を修正する</t>
    <phoneticPr fontId="3"/>
  </si>
  <si>
    <t>SYSTEM-2374</t>
    <phoneticPr fontId="3"/>
  </si>
  <si>
    <t>SYSTEM-2372</t>
    <phoneticPr fontId="3"/>
  </si>
  <si>
    <t>SYSTEM-2358</t>
    <phoneticPr fontId="3"/>
  </si>
  <si>
    <t>SYSTEM-2337</t>
    <phoneticPr fontId="3"/>
  </si>
  <si>
    <t>クーポンの販売不可制御</t>
    <phoneticPr fontId="3"/>
  </si>
  <si>
    <t>FY18-200</t>
    <phoneticPr fontId="3"/>
  </si>
  <si>
    <t>オプションMの翌月適用の対応</t>
    <phoneticPr fontId="3"/>
  </si>
  <si>
    <t>配布用レスケのコーポレートロゴ差し替え</t>
    <phoneticPr fontId="3"/>
  </si>
  <si>
    <t>SYSTEM-2414</t>
    <phoneticPr fontId="3"/>
  </si>
  <si>
    <t>SYSTEM-2408</t>
    <phoneticPr fontId="3"/>
  </si>
  <si>
    <t>LAVA･ホットヨガに関するアンケートフォーム作成依頼(PRG)</t>
    <phoneticPr fontId="3"/>
  </si>
  <si>
    <t>SYSTEM-2400</t>
    <phoneticPr fontId="3"/>
  </si>
  <si>
    <t>クレジット決済画面で「申込みを確定する」ボタンを押すとエラー画面となる(CC)</t>
    <phoneticPr fontId="3"/>
  </si>
  <si>
    <t>バナー削除：LAVA男のパワーヴィンヤサヨガ他</t>
    <phoneticPr fontId="3"/>
  </si>
  <si>
    <t>SYSTEM-2435</t>
    <phoneticPr fontId="3"/>
  </si>
  <si>
    <t>予約専用ページ：LINEバナー差し替えのご依頼（34）</t>
    <phoneticPr fontId="3"/>
  </si>
  <si>
    <t>Web入会のLAVAご利用ルール・アンカータグ変更依頼</t>
    <phoneticPr fontId="3"/>
  </si>
  <si>
    <t>SYSTEM-2447</t>
    <phoneticPr fontId="3"/>
  </si>
  <si>
    <t>【FOE】商品マスタのJANコードへ変更</t>
    <phoneticPr fontId="3"/>
  </si>
  <si>
    <t>DDOC-165</t>
    <phoneticPr fontId="3"/>
  </si>
  <si>
    <t>CSアンケート</t>
    <phoneticPr fontId="3"/>
  </si>
  <si>
    <t>FY18-217</t>
    <phoneticPr fontId="3"/>
  </si>
  <si>
    <t>マスターレッスンをマンスリーのみ予約できるようにしたい</t>
    <phoneticPr fontId="3"/>
  </si>
  <si>
    <t>SYSTEM-2504</t>
    <phoneticPr fontId="3"/>
  </si>
  <si>
    <t>月次棚卸チェックシートPDFの商品名欄拡張</t>
    <phoneticPr fontId="3"/>
  </si>
  <si>
    <t>SYSTEM-2507</t>
    <phoneticPr fontId="3"/>
  </si>
  <si>
    <t>【配布用レスケ】新規可レッスンの表記変更について</t>
    <phoneticPr fontId="3"/>
  </si>
  <si>
    <t>FY18-220</t>
    <phoneticPr fontId="3"/>
  </si>
  <si>
    <t>【FOE】伝票削除情報を帳票で出力する。</t>
    <phoneticPr fontId="3"/>
  </si>
  <si>
    <t>SYSTEM-2531</t>
    <phoneticPr fontId="3"/>
  </si>
  <si>
    <t>【予約専用ページ】MGMバナー差し替え依頼：2019年 4月分（マーケG）</t>
    <phoneticPr fontId="3"/>
  </si>
  <si>
    <t>SYSTEM-2542</t>
    <phoneticPr fontId="3"/>
  </si>
  <si>
    <t>SYSTEM-2545</t>
    <phoneticPr fontId="3"/>
  </si>
  <si>
    <t>Web入会移行告知</t>
    <phoneticPr fontId="3"/>
  </si>
  <si>
    <t>メール不達問題について</t>
    <phoneticPr fontId="3"/>
  </si>
  <si>
    <t>メール不達対応＠Web入会仮登録</t>
    <phoneticPr fontId="3"/>
  </si>
  <si>
    <t>店舗フロント店舗名のとなりに店舗番号（短縮番号）を表示させたい　CC要望</t>
    <phoneticPr fontId="3"/>
  </si>
  <si>
    <t>SYSTEM-2582</t>
    <phoneticPr fontId="3"/>
  </si>
  <si>
    <t>【LINE】新規向けリッチメニューの切替機能</t>
    <phoneticPr fontId="3"/>
  </si>
  <si>
    <t>WEBENTRY-18</t>
    <phoneticPr fontId="3"/>
  </si>
  <si>
    <t>【社友プロジェクト】</t>
    <phoneticPr fontId="3"/>
  </si>
  <si>
    <t>FY19-2</t>
    <phoneticPr fontId="3"/>
  </si>
  <si>
    <t>【運用改善】レスケシステム　10分ヨガ選択方法表記変更</t>
    <phoneticPr fontId="3"/>
  </si>
  <si>
    <t>SYSTEM-2370</t>
    <phoneticPr fontId="3"/>
  </si>
  <si>
    <t>配布用レスケ　スタジオ別利用性別を表示する</t>
    <phoneticPr fontId="3"/>
  </si>
  <si>
    <t>SYSTEM-2602</t>
    <phoneticPr fontId="3"/>
  </si>
  <si>
    <t>SYSTEM-2628</t>
    <phoneticPr fontId="3"/>
  </si>
  <si>
    <t>WEBENTRY-8</t>
    <phoneticPr fontId="3"/>
  </si>
  <si>
    <t>増税対応</t>
    <phoneticPr fontId="3"/>
  </si>
  <si>
    <t>.メール配信業者の移行</t>
    <phoneticPr fontId="3"/>
  </si>
  <si>
    <t>WEBENTRY-12</t>
    <phoneticPr fontId="3"/>
  </si>
  <si>
    <t>SYSTEM-2634</t>
    <phoneticPr fontId="3"/>
  </si>
  <si>
    <t>SYSTEM-2665</t>
    <phoneticPr fontId="3"/>
  </si>
  <si>
    <t>FY19-6</t>
    <phoneticPr fontId="3"/>
  </si>
  <si>
    <t>【運用改善】予約状況表画面・予約状況表に10分ヨガの実施有無を記載</t>
    <phoneticPr fontId="3"/>
  </si>
  <si>
    <t>SYSTEM-2592</t>
    <phoneticPr fontId="3"/>
  </si>
  <si>
    <t>和暦対応　HR 支払明細</t>
    <phoneticPr fontId="3"/>
  </si>
  <si>
    <t>SYSTEM-2560</t>
    <phoneticPr fontId="3"/>
  </si>
  <si>
    <t>適用対象外の店舗なのにエラーメッセージに「会員種別に～」と表示される</t>
    <phoneticPr fontId="3"/>
  </si>
  <si>
    <t>SYSTEM-2625</t>
    <phoneticPr fontId="3"/>
  </si>
  <si>
    <t>安心サポート既存会員向けプロモーション対応</t>
    <phoneticPr fontId="3"/>
  </si>
  <si>
    <t>商品読替作業　７月から</t>
    <phoneticPr fontId="3"/>
  </si>
  <si>
    <t>予約状況表(画面PDF)での「クレピ」と表示される条件を変更したい</t>
    <phoneticPr fontId="3"/>
  </si>
  <si>
    <t>LOS自動連携停止</t>
    <phoneticPr fontId="3"/>
  </si>
  <si>
    <t>WEBENTRY-21</t>
    <phoneticPr fontId="3"/>
  </si>
  <si>
    <t>オープン前店舗のWeb入会はオープン日前日15時にWeb入会の申し込みを終了させる</t>
    <phoneticPr fontId="3"/>
  </si>
  <si>
    <t>フロントシステムの予約数一覧にクレピが表示される人数を出す</t>
    <phoneticPr fontId="3"/>
  </si>
  <si>
    <t>LOSリニューアル（フェーズ1）</t>
    <phoneticPr fontId="3"/>
  </si>
  <si>
    <t>新店イオンモール大垣店の初回スクリーンヨガの制御</t>
    <phoneticPr fontId="3"/>
  </si>
  <si>
    <t>FY19-23</t>
    <phoneticPr fontId="3"/>
  </si>
  <si>
    <t>【PRICE&amp;CP革命1.0】新店Web入会対象者変更</t>
    <phoneticPr fontId="3"/>
  </si>
  <si>
    <t>FY19-32</t>
    <phoneticPr fontId="3"/>
  </si>
  <si>
    <t>HELPDESK-8597</t>
    <phoneticPr fontId="3"/>
  </si>
  <si>
    <t>特定のお客様の受講が出来ない(高槻店)</t>
    <phoneticPr fontId="3"/>
  </si>
  <si>
    <t>FY18-87</t>
    <phoneticPr fontId="3"/>
  </si>
  <si>
    <t>【アプリ】会員向けアプリ</t>
    <phoneticPr fontId="3"/>
  </si>
  <si>
    <t>SYSTEM-2738</t>
    <phoneticPr fontId="3"/>
  </si>
  <si>
    <t>予約専用ページMGMバナー差し替えの依頼：2019年 7月分（クリエイティブG）</t>
    <phoneticPr fontId="3"/>
  </si>
  <si>
    <t>FY19-40</t>
    <phoneticPr fontId="3"/>
  </si>
  <si>
    <t>【PRICE&amp;CP革命1.5】ずっと割第1弾</t>
    <phoneticPr fontId="3"/>
  </si>
  <si>
    <t>【PRICE&amp;CP革命1.5】スクリーンM導入第1弾</t>
    <phoneticPr fontId="3"/>
  </si>
  <si>
    <t>WEBENTRY-44</t>
    <phoneticPr fontId="3"/>
  </si>
  <si>
    <t>FY19-15</t>
    <phoneticPr fontId="3"/>
  </si>
  <si>
    <t>FY19-42</t>
    <phoneticPr fontId="3"/>
  </si>
  <si>
    <t>SYSTEM-2829</t>
    <phoneticPr fontId="3"/>
  </si>
  <si>
    <t>WEBENTRY-14</t>
    <phoneticPr fontId="3"/>
  </si>
  <si>
    <t>SYSTEM-2714</t>
    <phoneticPr fontId="3"/>
  </si>
  <si>
    <t>入会者特典を発行しても紹介者登録のバナーが出ない</t>
    <phoneticPr fontId="3"/>
  </si>
  <si>
    <t>予約システムの予約時の店舗リストに「本部」が出たのはいつからか？</t>
    <phoneticPr fontId="3"/>
  </si>
  <si>
    <t>SYSTEM-2803</t>
    <phoneticPr fontId="3"/>
  </si>
  <si>
    <t>予約専用サイト新店MGMキャンペーンバナー出し分けのお願い</t>
    <phoneticPr fontId="3"/>
  </si>
  <si>
    <t>自動配信メール一覧</t>
    <phoneticPr fontId="3"/>
  </si>
  <si>
    <t>【運用改善】「業者からの納品」の「納品明細一覧」の【商品並び順】変更</t>
    <phoneticPr fontId="3"/>
  </si>
  <si>
    <t>SYSTEM-2780</t>
    <phoneticPr fontId="3"/>
  </si>
  <si>
    <t>【依頼】イベントに関するアンケートの作成について</t>
    <phoneticPr fontId="3"/>
  </si>
  <si>
    <t>FY19-36</t>
    <phoneticPr fontId="3"/>
  </si>
  <si>
    <t>FY19-53</t>
    <phoneticPr fontId="3"/>
  </si>
  <si>
    <t>【運用改善】配布用レスケ　CC番号の後ろに「（有料）｣とつける</t>
    <phoneticPr fontId="3"/>
  </si>
  <si>
    <t>FY19-50</t>
    <phoneticPr fontId="3"/>
  </si>
  <si>
    <t>FY19-21</t>
    <phoneticPr fontId="3"/>
  </si>
  <si>
    <t>【HR】業務委託システム向け契約書PDF作成</t>
    <phoneticPr fontId="3"/>
  </si>
  <si>
    <t>【運用改善】変動した商品だけ【フィルター】をかけられるようにしたい</t>
    <phoneticPr fontId="3"/>
  </si>
  <si>
    <t>SYSTEM-2843</t>
    <phoneticPr fontId="3"/>
  </si>
  <si>
    <t>月次棚卸エラー</t>
    <phoneticPr fontId="3"/>
  </si>
  <si>
    <t>SYSTEM-2872</t>
    <phoneticPr fontId="3"/>
  </si>
  <si>
    <t>【調査依頼】member_introductionとmgm_introduction_giftのデータ件数差異について</t>
    <phoneticPr fontId="3"/>
  </si>
  <si>
    <t>【運用改善】在庫変動状況リストの商品名末尾が切れている</t>
    <phoneticPr fontId="3"/>
  </si>
  <si>
    <t>【お詫びと緊急依頼】新店MGM商品券追加発行の件</t>
    <phoneticPr fontId="3"/>
  </si>
  <si>
    <t>[問い合わせ]ずっと割申込ボタンが表示されない</t>
    <phoneticPr fontId="3"/>
  </si>
  <si>
    <t>SYSTEM-2824</t>
    <phoneticPr fontId="3"/>
  </si>
  <si>
    <t>mgm_introduction_giftのintroduction_receive_have_gift_idがNULLとなる条件</t>
    <phoneticPr fontId="3"/>
  </si>
  <si>
    <t>SYSTEM-2885</t>
    <phoneticPr fontId="3"/>
  </si>
  <si>
    <t>WEBENTRY-66</t>
    <phoneticPr fontId="3"/>
  </si>
  <si>
    <t>クレジット決済画面　入力チェックの追加</t>
    <phoneticPr fontId="3"/>
  </si>
  <si>
    <t>SYSTEM-2906</t>
    <phoneticPr fontId="3"/>
  </si>
  <si>
    <t>ライトデイのお客様が予約サイトに「平日のみ」等の記載がない為土日に予約する(小手指店)</t>
    <phoneticPr fontId="3"/>
  </si>
  <si>
    <t>WEBENTRY-68</t>
    <phoneticPr fontId="3"/>
  </si>
  <si>
    <t>Web入会申込時のスタッフ用MGM入力時の制御</t>
    <phoneticPr fontId="3"/>
  </si>
  <si>
    <t>FY19-73</t>
    <phoneticPr fontId="3"/>
  </si>
  <si>
    <t>1-12帳票でシステムエラー（NullPointer）</t>
    <phoneticPr fontId="3"/>
  </si>
  <si>
    <t>SYSTEM-2907</t>
    <phoneticPr fontId="3"/>
  </si>
  <si>
    <t>【運用改善】口座還元データの取込順変更</t>
    <phoneticPr fontId="3"/>
  </si>
  <si>
    <t>EMAIL-5</t>
    <phoneticPr fontId="3"/>
  </si>
  <si>
    <t>メール修正 101リリース</t>
    <phoneticPr fontId="3"/>
  </si>
  <si>
    <t>9_1リリース不具合対応</t>
    <phoneticPr fontId="3"/>
  </si>
  <si>
    <t>FY19-88</t>
    <phoneticPr fontId="3"/>
  </si>
  <si>
    <t xml:space="preserve">【運用改善】移送可能商品の変更 </t>
    <phoneticPr fontId="3"/>
  </si>
  <si>
    <t>SYSTEM-2893</t>
    <phoneticPr fontId="3"/>
  </si>
  <si>
    <t>2019年9月度事推商品(事推G)</t>
    <phoneticPr fontId="3"/>
  </si>
  <si>
    <t>SYSTEM-2876</t>
    <phoneticPr fontId="3"/>
  </si>
  <si>
    <t>CSアンケート回答締切日不備</t>
    <phoneticPr fontId="3"/>
  </si>
  <si>
    <t>WEBENTRY-69</t>
    <phoneticPr fontId="3"/>
  </si>
  <si>
    <t>高岡店、石巻店についての注釈追加</t>
    <phoneticPr fontId="3"/>
  </si>
  <si>
    <t>FY18-238</t>
    <phoneticPr fontId="3"/>
  </si>
  <si>
    <t>【AI】レスケＣＳＶデータ取込</t>
    <phoneticPr fontId="3"/>
  </si>
  <si>
    <t>FY19-71</t>
    <phoneticPr fontId="3"/>
  </si>
  <si>
    <t>WEBENTRY-71</t>
    <phoneticPr fontId="3"/>
  </si>
  <si>
    <t>スクリーンヨガの予約制御</t>
    <phoneticPr fontId="3"/>
  </si>
  <si>
    <t>売上金返金を行うと実返金金額と返金金額に500円の差額が発生する</t>
    <phoneticPr fontId="3"/>
  </si>
  <si>
    <t>FY19-95</t>
    <phoneticPr fontId="3"/>
  </si>
  <si>
    <t>FY19-81</t>
    <phoneticPr fontId="3"/>
  </si>
  <si>
    <t>予約専用ページ：LINEバナー差し替えのご依頼（917以降）</t>
    <phoneticPr fontId="3"/>
  </si>
  <si>
    <t>【店ナビ】改修対応　Ver.1.2.1</t>
    <phoneticPr fontId="3"/>
  </si>
  <si>
    <t>解約変更申請の明細について　適用日を過ぎた場合</t>
    <phoneticPr fontId="3"/>
  </si>
  <si>
    <t>FY19-114</t>
    <phoneticPr fontId="3"/>
  </si>
  <si>
    <t>コンビ二請求　個数表記の変更</t>
    <phoneticPr fontId="3"/>
  </si>
  <si>
    <t>SYSTEM-2961</t>
    <phoneticPr fontId="3"/>
  </si>
  <si>
    <t>SYSTEM-2966</t>
    <phoneticPr fontId="3"/>
  </si>
  <si>
    <t>SYSTEM-2970</t>
    <phoneticPr fontId="3"/>
  </si>
  <si>
    <t>本部送付書類確認画面＠フロントの並び順を変更</t>
    <phoneticPr fontId="3"/>
  </si>
  <si>
    <t>SYSTEM-3013</t>
    <phoneticPr fontId="3"/>
  </si>
  <si>
    <t>WEBENTRY-76</t>
    <phoneticPr fontId="3"/>
  </si>
  <si>
    <t>パートナーIR支払明細　電話番号変更</t>
    <phoneticPr fontId="3"/>
  </si>
  <si>
    <t>【運用改善】マンスリー解約変更申請バッチ改修</t>
    <phoneticPr fontId="3"/>
  </si>
  <si>
    <t>区分名：無断キャンセルの変更</t>
    <phoneticPr fontId="3"/>
  </si>
  <si>
    <t>EMAIL-7</t>
    <phoneticPr fontId="3"/>
  </si>
  <si>
    <t>自動配信メール送信　第二弾</t>
    <phoneticPr fontId="3"/>
  </si>
  <si>
    <t>FY19-98</t>
    <phoneticPr fontId="3"/>
  </si>
  <si>
    <t>FY19-120</t>
    <phoneticPr fontId="3"/>
  </si>
  <si>
    <t>【依頼】個店注釈_居酒屋営業店舗（19年10月スタート/計19店舗）</t>
    <phoneticPr fontId="3"/>
  </si>
  <si>
    <t>【依頼】自動配信メール_27＆28＆32_URL差替</t>
    <phoneticPr fontId="3"/>
  </si>
  <si>
    <t>EMAIL-10</t>
    <phoneticPr fontId="3"/>
  </si>
  <si>
    <t>自動配信メール　第三弾</t>
    <phoneticPr fontId="3"/>
  </si>
  <si>
    <t>決済エラーの画面サンプルとエラーコード一覧</t>
    <phoneticPr fontId="3"/>
  </si>
  <si>
    <t>FY19-103</t>
    <phoneticPr fontId="3"/>
  </si>
  <si>
    <t xml:space="preserve">Evolv銀座本店統合 </t>
    <phoneticPr fontId="3"/>
  </si>
  <si>
    <t>【運用改善】未入庫の商品があっても、次の入庫予定の商品の入庫ができるようにしたい</t>
    <phoneticPr fontId="3"/>
  </si>
  <si>
    <t>男性会員予約専用ページにバナー表示依頼（プロモＧ）</t>
    <phoneticPr fontId="3"/>
  </si>
  <si>
    <t>SYSTEM-3034</t>
    <phoneticPr fontId="3"/>
  </si>
  <si>
    <t xml:space="preserve">1-7返金帳票の改修について </t>
    <phoneticPr fontId="3"/>
  </si>
  <si>
    <t>FY19-122</t>
    <phoneticPr fontId="3"/>
  </si>
  <si>
    <t>トピックスインポートをCSVからJSON形式へ変更</t>
    <phoneticPr fontId="3"/>
  </si>
  <si>
    <t>WEBENTRY-82</t>
    <phoneticPr fontId="3"/>
  </si>
  <si>
    <t>SYSTEM-3055</t>
    <phoneticPr fontId="3"/>
  </si>
  <si>
    <t>FY18-189</t>
    <phoneticPr fontId="3"/>
  </si>
  <si>
    <t>SYSTEM-3088</t>
    <phoneticPr fontId="3"/>
  </si>
  <si>
    <t>2収入集計　返金及び消費税区分不正対応</t>
    <phoneticPr fontId="3"/>
  </si>
  <si>
    <t>SYSTEM-3106</t>
    <phoneticPr fontId="3"/>
  </si>
  <si>
    <t>FY19-133</t>
    <phoneticPr fontId="3"/>
  </si>
  <si>
    <t>15周年記念対応</t>
    <phoneticPr fontId="3"/>
  </si>
  <si>
    <t>SYSTEM-3070</t>
    <phoneticPr fontId="3"/>
  </si>
  <si>
    <t>レスケシステムで中止処理をしたがお客様の予約がキャンセルにならない</t>
    <phoneticPr fontId="3"/>
  </si>
  <si>
    <t>EMAIL-12</t>
    <phoneticPr fontId="3"/>
  </si>
  <si>
    <t>EMAIL-13</t>
    <phoneticPr fontId="3"/>
  </si>
  <si>
    <t>パーソナルヨガ注釈、無断キャンセル表記の修正</t>
    <phoneticPr fontId="3"/>
  </si>
  <si>
    <t>学割マンスリー会員が休会申請できない</t>
    <phoneticPr fontId="3"/>
  </si>
  <si>
    <t xml:space="preserve">池袋東口のチケットへの復会金額不正 </t>
    <phoneticPr fontId="3"/>
  </si>
  <si>
    <t>SYSTEM-3136</t>
    <phoneticPr fontId="3"/>
  </si>
  <si>
    <t xml:space="preserve">【12/1～】予約専用サイト新店MGMキャンペーンバナー出し分けのお願い </t>
    <phoneticPr fontId="3"/>
  </si>
  <si>
    <t>WEBENTRY-86</t>
    <phoneticPr fontId="3"/>
  </si>
  <si>
    <t>予約専用ページ：FIRSTSHIPバナー追加のご依頼</t>
    <phoneticPr fontId="3"/>
  </si>
  <si>
    <t>reserve-mobile 緊急改修　第三弾</t>
    <phoneticPr fontId="3"/>
  </si>
  <si>
    <t>FY19-136</t>
    <phoneticPr fontId="3"/>
  </si>
  <si>
    <t>SYSTEM-3044</t>
    <phoneticPr fontId="3"/>
  </si>
  <si>
    <t>FY19-119</t>
    <phoneticPr fontId="3"/>
  </si>
  <si>
    <t>【運用改善】メール送信履歴テーブル削除による影響調査</t>
    <phoneticPr fontId="3"/>
  </si>
  <si>
    <t>FY19-130</t>
    <phoneticPr fontId="3"/>
  </si>
  <si>
    <t>FY19-128</t>
    <phoneticPr fontId="3"/>
  </si>
  <si>
    <t>EMAIL-14</t>
    <phoneticPr fontId="3"/>
  </si>
  <si>
    <t>EMAIL-15</t>
    <phoneticPr fontId="3"/>
  </si>
  <si>
    <t>SYSTEM-3105</t>
    <phoneticPr fontId="3"/>
  </si>
  <si>
    <t>商品券期限アラートメール　LOSポイント交換文章削除</t>
    <phoneticPr fontId="3"/>
  </si>
  <si>
    <t>SYSTEM-3111</t>
    <phoneticPr fontId="3"/>
  </si>
  <si>
    <t>SYSTEM-3046</t>
    <phoneticPr fontId="3"/>
  </si>
  <si>
    <t>解約金　追加機能改修</t>
    <phoneticPr fontId="3"/>
  </si>
  <si>
    <t>年末に1230,31入会を非表示にしたい</t>
    <phoneticPr fontId="3"/>
  </si>
  <si>
    <t>SYSTEM-3139</t>
    <phoneticPr fontId="3"/>
  </si>
  <si>
    <t>Web入会ページ内に注意書き(ブラウザの「戻る」ボタンを使うな)の追加</t>
    <phoneticPr fontId="3"/>
  </si>
  <si>
    <t>SYSTEM-3159</t>
    <phoneticPr fontId="3"/>
  </si>
  <si>
    <t>縛り期間内でも休会申請があげられてしまう</t>
    <phoneticPr fontId="3"/>
  </si>
  <si>
    <t>自動配信メール　第五弾ー２</t>
    <phoneticPr fontId="3"/>
  </si>
  <si>
    <t>SYSTEM-3203</t>
    <phoneticPr fontId="3"/>
  </si>
  <si>
    <t>POSシステムから会員番号入力するとエラーになる（イオンモール大牟田店）</t>
    <phoneticPr fontId="3"/>
  </si>
  <si>
    <t>満員ではないがキャンセル待ちが発生している（イオンタウン郡山）</t>
    <phoneticPr fontId="3"/>
  </si>
  <si>
    <t>FY19-146</t>
    <phoneticPr fontId="3"/>
  </si>
  <si>
    <t>ホットピラティスのレッスンをWeb予約画面表示させたい</t>
    <phoneticPr fontId="3"/>
  </si>
  <si>
    <t>SYSTEM-3255</t>
    <phoneticPr fontId="3"/>
  </si>
  <si>
    <t>SYSTEM-2786</t>
    <phoneticPr fontId="3"/>
  </si>
  <si>
    <t>【業態変更】川崎店、渋谷クロス店　新規受付可能店舗に変更</t>
    <phoneticPr fontId="3"/>
  </si>
  <si>
    <t>FY19-154</t>
    <phoneticPr fontId="3"/>
  </si>
  <si>
    <t>ヨガ活スタンプラリーの対象者にマタニティが含まれているので対象外に修正する。</t>
    <phoneticPr fontId="3"/>
  </si>
  <si>
    <t>ポイント履歴画面でのポイント名称</t>
    <phoneticPr fontId="3"/>
  </si>
  <si>
    <t>FY19-152</t>
    <phoneticPr fontId="3"/>
  </si>
  <si>
    <t>SYSTEM-3257</t>
    <phoneticPr fontId="3"/>
  </si>
  <si>
    <t>マックスバリュ小牧駅西店のグレード値下げ</t>
    <phoneticPr fontId="3"/>
  </si>
  <si>
    <t>【スタンプ】後受講処理を行ったところ、フロント画面でヨガ活スタンプが２行追加された。</t>
    <phoneticPr fontId="3"/>
  </si>
  <si>
    <t>HELPDESK-12547</t>
    <phoneticPr fontId="3"/>
  </si>
  <si>
    <t>【自動配信メール】アプリ導線記載修正</t>
    <phoneticPr fontId="3"/>
  </si>
  <si>
    <t>FY19-159</t>
    <phoneticPr fontId="3"/>
  </si>
  <si>
    <t>スタンプラリーの遡及をおこなう機能が必要</t>
    <phoneticPr fontId="3"/>
  </si>
  <si>
    <t>受講漏れ受講処理エラー(127発生)</t>
    <phoneticPr fontId="3"/>
  </si>
  <si>
    <t>FY19-141</t>
    <phoneticPr fontId="3"/>
  </si>
  <si>
    <t>【調査依頼】ずっと割キャンペーン申込届出書について</t>
    <phoneticPr fontId="3"/>
  </si>
  <si>
    <t>SYSTEM-3331</t>
    <phoneticPr fontId="3"/>
  </si>
  <si>
    <t>変更届出書の不具合について</t>
    <phoneticPr fontId="3"/>
  </si>
  <si>
    <t>SYSTEM-3312</t>
    <phoneticPr fontId="3"/>
  </si>
  <si>
    <t>ずっと割マンスリーCPのPOSが打てない</t>
    <phoneticPr fontId="3"/>
  </si>
  <si>
    <t>SYSTEM-3378</t>
    <phoneticPr fontId="3"/>
  </si>
  <si>
    <t>マシンピラティス予約時の注意事項修正</t>
    <phoneticPr fontId="3"/>
  </si>
  <si>
    <t>【運用改善】履歴DBの退避（line_access_log）</t>
    <phoneticPr fontId="3"/>
  </si>
  <si>
    <t>FY19-166</t>
    <phoneticPr fontId="3"/>
  </si>
  <si>
    <t>アフィリエイトタグ切替について</t>
    <phoneticPr fontId="3"/>
  </si>
  <si>
    <t>あなた宛のお知らせ追加で前０の場合取り込めない</t>
    <phoneticPr fontId="3"/>
  </si>
  <si>
    <t>FY19-164</t>
    <phoneticPr fontId="3"/>
  </si>
  <si>
    <t>WEBENTRY-96</t>
    <phoneticPr fontId="3"/>
  </si>
  <si>
    <t>後半入会の選択肢をない状態にする</t>
    <phoneticPr fontId="3"/>
  </si>
  <si>
    <t>HELPDESK-12391</t>
    <phoneticPr fontId="3"/>
  </si>
  <si>
    <t>LINEのID連携すると500円プレゼント／停止のご依頼（16 ）※日程変更しました</t>
    <phoneticPr fontId="3"/>
  </si>
  <si>
    <t>【運用改善】配布用レスケ　タイトルと本文の間の空行を削除する</t>
    <phoneticPr fontId="3"/>
  </si>
  <si>
    <t>SYSTEM-3375</t>
    <phoneticPr fontId="3"/>
  </si>
  <si>
    <t>FY19-155</t>
    <phoneticPr fontId="3"/>
  </si>
  <si>
    <t>ポイント履歴データの表示順</t>
    <phoneticPr fontId="3"/>
  </si>
  <si>
    <t>アマウント再計算処理の２ヶ月以上前の対応処理の追加</t>
    <phoneticPr fontId="3"/>
  </si>
  <si>
    <t>FY19-150</t>
    <phoneticPr fontId="3"/>
  </si>
  <si>
    <t>【運用改善】在庫管理システム画面から発注確定ができるようにしたい</t>
    <phoneticPr fontId="3"/>
  </si>
  <si>
    <t>商品券ポイント変換画面での登録名を変更したい</t>
    <phoneticPr fontId="3"/>
  </si>
  <si>
    <t>SYSTEM-3352</t>
    <phoneticPr fontId="3"/>
  </si>
  <si>
    <t>予約できる上限以上のお客様が受講（巣鴨店）</t>
    <phoneticPr fontId="3"/>
  </si>
  <si>
    <t>SYSTEM-3345</t>
    <phoneticPr fontId="3"/>
  </si>
  <si>
    <t>予約専用ページ：MGMバナー出し分けのご依頼</t>
    <phoneticPr fontId="3"/>
  </si>
  <si>
    <t>FY19-173</t>
    <phoneticPr fontId="3"/>
  </si>
  <si>
    <t>FY19-178</t>
    <phoneticPr fontId="3"/>
  </si>
  <si>
    <t>【ポイント利用】通常、期間限定ポイント利用時の期日判定</t>
    <phoneticPr fontId="3"/>
  </si>
  <si>
    <t>障害改修 【スタンプ遡及押下バッチ】ヨガ活遡及でエラーが発生し、特典が付与されない</t>
    <phoneticPr fontId="3"/>
  </si>
  <si>
    <t>WEBENTRY-104</t>
    <phoneticPr fontId="3"/>
  </si>
  <si>
    <t>FY19-171</t>
    <phoneticPr fontId="3"/>
  </si>
  <si>
    <t>HELPDESK-12925</t>
    <phoneticPr fontId="3"/>
  </si>
  <si>
    <t>予約状況表に表示される「アプリ 未」について(SV 佐野さん)</t>
    <phoneticPr fontId="3"/>
  </si>
  <si>
    <t>障害改修　ポイント対象外の会員種別でPOSするとエラーになる</t>
    <phoneticPr fontId="3"/>
  </si>
  <si>
    <t>SYSTEM-3248</t>
    <phoneticPr fontId="3"/>
  </si>
  <si>
    <t>SYSTEM-3326</t>
    <phoneticPr fontId="3"/>
  </si>
  <si>
    <t>SYSTEM-3364</t>
    <phoneticPr fontId="3"/>
  </si>
  <si>
    <t>SYSTEM-3379</t>
    <phoneticPr fontId="3"/>
  </si>
  <si>
    <t>障害改修　アマウント再計算バッチ　アマウント集計額がマイナスの場合、エラーが発生する</t>
    <phoneticPr fontId="3"/>
  </si>
  <si>
    <t>SYSTEM-3429</t>
    <phoneticPr fontId="3"/>
  </si>
  <si>
    <t>本部システム　ポイントメンテナンスで特定の区分を選択するとヌルポ</t>
    <phoneticPr fontId="3"/>
  </si>
  <si>
    <t>WEBENTRY-100</t>
    <phoneticPr fontId="3"/>
  </si>
  <si>
    <t>SYSTEM-3441</t>
    <phoneticPr fontId="3"/>
  </si>
  <si>
    <t>SYSTEM-3407</t>
    <phoneticPr fontId="3"/>
  </si>
  <si>
    <t>LOS注文データ取込　返品日の反映</t>
    <phoneticPr fontId="3"/>
  </si>
  <si>
    <t>SYSTEM-3455</t>
    <phoneticPr fontId="3"/>
  </si>
  <si>
    <t>SYSTEM-3467</t>
    <phoneticPr fontId="3"/>
  </si>
  <si>
    <t>【アプリ】PUSH通知が同じ内容で複数送付される</t>
    <phoneticPr fontId="3"/>
  </si>
  <si>
    <t>店舗ポイント作成BAT処理エラー</t>
    <phoneticPr fontId="3"/>
  </si>
  <si>
    <t>SYSTEM-3459</t>
    <phoneticPr fontId="3"/>
  </si>
  <si>
    <t>配布用レスケにマシンピラティスの説明が表示されない</t>
    <phoneticPr fontId="3"/>
  </si>
  <si>
    <t>SYSTEM-3531</t>
    <phoneticPr fontId="3"/>
  </si>
  <si>
    <t>スクリーンヨガ　予約画面への注意事項掲載</t>
    <phoneticPr fontId="3"/>
  </si>
  <si>
    <t>フロントシステムにログインできない(CC)</t>
    <phoneticPr fontId="3"/>
  </si>
  <si>
    <t>【運用改善】レスケシステムの店舗名検索対応</t>
    <phoneticPr fontId="3"/>
  </si>
  <si>
    <t>SYSTEM-3488</t>
    <phoneticPr fontId="3"/>
  </si>
  <si>
    <t>タブレット　LOSからのお知らせ_メールにNullが入る</t>
    <phoneticPr fontId="3"/>
  </si>
  <si>
    <t>SYSTEM-3510</t>
    <phoneticPr fontId="3"/>
  </si>
  <si>
    <t>予約専用ページ＆予約完了ページ：YOGA DELIGHTバナー【画像差し替え】のお願い（217）</t>
    <phoneticPr fontId="3"/>
  </si>
  <si>
    <t>SYSTEM-3514</t>
    <phoneticPr fontId="3"/>
  </si>
  <si>
    <t>HELPDESK-12588</t>
    <phoneticPr fontId="3"/>
  </si>
  <si>
    <t>EMAIL-24</t>
    <phoneticPr fontId="3"/>
  </si>
  <si>
    <t>【コロナ】会員専用動画配信ページ</t>
    <phoneticPr fontId="3"/>
  </si>
  <si>
    <t>WEBENTRY-111</t>
    <phoneticPr fontId="3"/>
  </si>
  <si>
    <t>商業施設へのレポート出力機能（2020年2月～）</t>
    <phoneticPr fontId="3"/>
  </si>
  <si>
    <t>SYSTEM-3530</t>
    <phoneticPr fontId="3"/>
  </si>
  <si>
    <t>【コロナ対応】コロナに関する注意文言の追加</t>
    <phoneticPr fontId="3"/>
  </si>
  <si>
    <t>SYSTEM-3605</t>
    <phoneticPr fontId="3"/>
  </si>
  <si>
    <t>SYSTEM-3606</t>
    <phoneticPr fontId="3"/>
  </si>
  <si>
    <t>SYSTEM-3613</t>
    <phoneticPr fontId="3"/>
  </si>
  <si>
    <t>【コロナ対応】申請状況確認フォームの作成</t>
    <phoneticPr fontId="3"/>
  </si>
  <si>
    <t>帳票対応(10,2-3改修)</t>
    <phoneticPr fontId="3"/>
  </si>
  <si>
    <t>DDOC-174</t>
    <phoneticPr fontId="3"/>
  </si>
  <si>
    <t>FY19-181</t>
    <phoneticPr fontId="3"/>
  </si>
  <si>
    <t>SYSTEM-3334</t>
    <phoneticPr fontId="3"/>
  </si>
  <si>
    <t>社員のレッスン実績(本数)データ作成</t>
    <phoneticPr fontId="3"/>
  </si>
  <si>
    <t>【HR】レッスン本数出力変更</t>
    <phoneticPr fontId="3"/>
  </si>
  <si>
    <t>SYSTEM-3597</t>
    <phoneticPr fontId="3"/>
  </si>
  <si>
    <t>障害調査　マンスリーの契約期間にオプションマンスリーの契約期間が表示されている</t>
    <phoneticPr fontId="3"/>
  </si>
  <si>
    <t>スタッフ会員作成　LOSからのお知らせにNULL</t>
    <phoneticPr fontId="3"/>
  </si>
  <si>
    <t>SYSTEM-3447</t>
    <phoneticPr fontId="3"/>
  </si>
  <si>
    <t>【レスケ】会員限定レッスンを新規可能レッスンに変更できるようにする。</t>
    <phoneticPr fontId="3"/>
  </si>
  <si>
    <t>HR　スタッフ所属店舗対応</t>
    <phoneticPr fontId="3"/>
  </si>
  <si>
    <t>SYSTEM-3404</t>
    <phoneticPr fontId="3"/>
  </si>
  <si>
    <t>LOS帳票に関して</t>
    <phoneticPr fontId="3"/>
  </si>
  <si>
    <t>返金_総合振込用CSVデータ作成</t>
    <phoneticPr fontId="3"/>
  </si>
  <si>
    <t>SYSTEM-3595</t>
    <phoneticPr fontId="3"/>
  </si>
  <si>
    <t>コロナ対応　解約変更申請書　文言追加</t>
    <phoneticPr fontId="3"/>
  </si>
  <si>
    <t>FY19-170</t>
    <phoneticPr fontId="3"/>
  </si>
  <si>
    <t>【LINE】LINEからWEB予約をした際のデータを取得できるようにする</t>
    <phoneticPr fontId="3"/>
  </si>
  <si>
    <t>SYSTEM-3383</t>
    <phoneticPr fontId="3"/>
  </si>
  <si>
    <t>SYSTEM-3628</t>
    <phoneticPr fontId="3"/>
  </si>
  <si>
    <t>【POS】マンスリーチケットを含む伝票が削除できない</t>
    <phoneticPr fontId="3"/>
  </si>
  <si>
    <t>【運用改善】係数アップロードテンプレートに第5週を追加</t>
    <phoneticPr fontId="3"/>
  </si>
  <si>
    <t>SYSTEM-3516</t>
    <phoneticPr fontId="3"/>
  </si>
  <si>
    <t>【帳票】1-15 ; 1-17 帳票仕様書のSQL最新化依頼</t>
    <phoneticPr fontId="3"/>
  </si>
  <si>
    <t>HELPDESK-13352</t>
    <phoneticPr fontId="3"/>
  </si>
  <si>
    <t>フロントシステムの受講確認画面で”はい”を押下するとエラー画面になる（うるまシティプラザ店）</t>
    <phoneticPr fontId="3"/>
  </si>
  <si>
    <t>SYSTEM-3637</t>
    <phoneticPr fontId="3"/>
  </si>
  <si>
    <t>SYSTEM-3475</t>
    <phoneticPr fontId="3"/>
  </si>
  <si>
    <t>配布用レスケ　レッスン区分ごとのレッスン説明をある分だけ全部出すように改修</t>
    <phoneticPr fontId="3"/>
  </si>
  <si>
    <t>SYSTEM-3625</t>
    <phoneticPr fontId="3"/>
  </si>
  <si>
    <t>予約専用TOPページの水素水サーバー一覧の表記削除</t>
    <phoneticPr fontId="3"/>
  </si>
  <si>
    <t>SYSTEM-3634</t>
    <phoneticPr fontId="3"/>
  </si>
  <si>
    <t>2020年4月読み替え表（マーケG）</t>
    <phoneticPr fontId="3"/>
  </si>
  <si>
    <t>返金申請書ポイント注記追記</t>
    <phoneticPr fontId="3"/>
  </si>
  <si>
    <t>SYSTEM-3647</t>
    <phoneticPr fontId="3"/>
  </si>
  <si>
    <t>アプリ│バナー差替依頼（200401）</t>
    <phoneticPr fontId="3"/>
  </si>
  <si>
    <t>プラン選択ページのクーポン画像差し替え依頼</t>
    <phoneticPr fontId="3"/>
  </si>
  <si>
    <t>【アルバイトIR】レッスン本数連携の修正</t>
    <phoneticPr fontId="3"/>
  </si>
  <si>
    <t>SYSTEM-3646</t>
    <phoneticPr fontId="3"/>
  </si>
  <si>
    <t>解約変更申請　ご請求明細の表記について（コロナ対応 5月適用分）</t>
    <phoneticPr fontId="3"/>
  </si>
  <si>
    <t>【お知らせ】あなた宛てのお知らせ
(未読)を既読にしたが、ホーム画面右下鈴のお知ら
せ未読件数が減らない。</t>
    <phoneticPr fontId="3"/>
  </si>
  <si>
    <t>SYSTEM-3718</t>
    <phoneticPr fontId="3"/>
  </si>
  <si>
    <t>【プロモ依頼】WEB入会メール文言追加</t>
    <phoneticPr fontId="3"/>
  </si>
  <si>
    <t>SYSTEM-3741</t>
    <phoneticPr fontId="3"/>
  </si>
  <si>
    <t>SYSTEM-3742</t>
    <phoneticPr fontId="3"/>
  </si>
  <si>
    <t>アプリ│バナー差替依頼（200501）</t>
    <phoneticPr fontId="3"/>
  </si>
  <si>
    <t>SYSTEM-3619</t>
    <phoneticPr fontId="3"/>
  </si>
  <si>
    <t>SYSTEM-3566</t>
    <phoneticPr fontId="3"/>
  </si>
  <si>
    <t>マンスリー集金代行手数料値下げ対応</t>
    <phoneticPr fontId="3"/>
  </si>
  <si>
    <t>FY19-211</t>
    <phoneticPr fontId="3"/>
  </si>
  <si>
    <t>【コロナ対応】途中解約金額新ルール対応（新規入会）</t>
    <phoneticPr fontId="3"/>
  </si>
  <si>
    <t>FY19-197</t>
    <phoneticPr fontId="3"/>
  </si>
  <si>
    <t>会員向け無料動画配信の実施</t>
    <phoneticPr fontId="3"/>
  </si>
  <si>
    <t>FY19-206</t>
    <phoneticPr fontId="3"/>
  </si>
  <si>
    <t>WEBENTRY-117</t>
    <phoneticPr fontId="3"/>
  </si>
  <si>
    <t>SYSTEM-3370</t>
    <phoneticPr fontId="3"/>
  </si>
  <si>
    <t>SYSTEM-3587</t>
    <phoneticPr fontId="3"/>
  </si>
  <si>
    <t>障害調査　アプリのヨガ活でスタンプが押されると台紙の数字がレッスン名になる</t>
    <phoneticPr fontId="3"/>
  </si>
  <si>
    <t>Lapreから配送先を追加しようとするとエラー</t>
    <phoneticPr fontId="3"/>
  </si>
  <si>
    <t>SYSTEM-3697</t>
    <phoneticPr fontId="3"/>
  </si>
  <si>
    <t>SYSTEM-3739</t>
    <phoneticPr fontId="3"/>
  </si>
  <si>
    <t>【コロナ対応】返金申請一括作成</t>
    <phoneticPr fontId="3"/>
  </si>
  <si>
    <t>予約専用ページ：「オリジナルメディア」バナー設置のご依頼（428)</t>
    <phoneticPr fontId="3"/>
  </si>
  <si>
    <t>タブレット　解約申請で「次へ」ボタンが表示されない</t>
    <phoneticPr fontId="3"/>
  </si>
  <si>
    <t>SYSTEM-3731</t>
    <phoneticPr fontId="3"/>
  </si>
  <si>
    <t>SYSTEM-3688</t>
    <phoneticPr fontId="3"/>
  </si>
  <si>
    <t>LAVA予約サイトのフッターにLapre利用規約へのリンクを追加してほしい</t>
    <phoneticPr fontId="3"/>
  </si>
  <si>
    <t>レスケの「スケジュール印刷」ボタンから店舗年月選択ダイアログを表示した際、表示が崩れてしまう</t>
    <phoneticPr fontId="3"/>
  </si>
  <si>
    <t>【DB安定化】03_【調査】インデックスの見直し（レッスン検索SQL）</t>
    <phoneticPr fontId="3"/>
  </si>
  <si>
    <t>SYSTEM-3740</t>
    <phoneticPr fontId="3"/>
  </si>
  <si>
    <t>経理報告用CSVの改修</t>
    <phoneticPr fontId="3"/>
  </si>
  <si>
    <t>HELPDESK-13099</t>
    <phoneticPr fontId="3"/>
  </si>
  <si>
    <t>アンケート回答について （草津）</t>
    <phoneticPr fontId="3"/>
  </si>
  <si>
    <t>予約システムのLapreバナーのURLをconfigで設定</t>
    <phoneticPr fontId="3"/>
  </si>
  <si>
    <t>SYSTEM-3532</t>
    <phoneticPr fontId="3"/>
  </si>
  <si>
    <t>SYSTEM-3762</t>
    <phoneticPr fontId="3"/>
  </si>
  <si>
    <t>.本部マンスリー(lava-monthly)の「返金データ出力」ボタンを押しても反応しない</t>
    <phoneticPr fontId="3"/>
  </si>
  <si>
    <t>【障害対応】総保有ポイントに過去6ヶ月以前に付与された通常ポイントが加算されていない</t>
    <phoneticPr fontId="3"/>
  </si>
  <si>
    <t>SYSTEM-3769</t>
    <phoneticPr fontId="3"/>
  </si>
  <si>
    <t>「サーキット」レッスン追加対応</t>
    <phoneticPr fontId="3"/>
  </si>
  <si>
    <t>【障害対応】通常ポイントの有効期限の考え方の誤り</t>
    <phoneticPr fontId="3"/>
  </si>
  <si>
    <t>【コロナ対応】解約変更申請の締日を20日にする</t>
    <phoneticPr fontId="3"/>
  </si>
  <si>
    <t>FY19-222</t>
    <phoneticPr fontId="3"/>
  </si>
  <si>
    <t>【コロナ対応】休業中特別解約受付PJ　お客様のDLした申請書をDLできるようにする</t>
    <phoneticPr fontId="3"/>
  </si>
  <si>
    <t>SYSTEM-3805</t>
    <phoneticPr fontId="3"/>
  </si>
  <si>
    <t>縛り終了年月は縛り期間が終了するまで引き継ぐ</t>
    <phoneticPr fontId="3"/>
  </si>
  <si>
    <t>SYSTEM-3773</t>
    <phoneticPr fontId="3"/>
  </si>
  <si>
    <t>SYSTEM-3782</t>
    <phoneticPr fontId="3"/>
  </si>
  <si>
    <t>【レスケ】レッスン中止できない（綱島店）</t>
    <phoneticPr fontId="3"/>
  </si>
  <si>
    <t>SYSTEM-3751</t>
    <phoneticPr fontId="3"/>
  </si>
  <si>
    <t>アプリ│バナー差替依頼（200512）</t>
    <phoneticPr fontId="3"/>
  </si>
  <si>
    <t>予約専用ページ：LIVE配信バナー差し替えのお願い（521）</t>
    <phoneticPr fontId="3"/>
  </si>
  <si>
    <t>商業施設レポートテンプレート変更（2020年5月売上報告分）</t>
    <phoneticPr fontId="3"/>
  </si>
  <si>
    <t>新解約金テーブルに個別フラグ用のカラムを追加する</t>
    <phoneticPr fontId="3"/>
  </si>
  <si>
    <t>FY19-231</t>
    <phoneticPr fontId="3"/>
  </si>
  <si>
    <t>【ポイント】ポイント算出結果が1円に満たない場合、0ptの通常ポイントが付与されてしまう</t>
    <phoneticPr fontId="3"/>
  </si>
  <si>
    <t>【コロナ対応】休会Mで予約数、C待ち予約数の制御を行う</t>
    <phoneticPr fontId="3"/>
  </si>
  <si>
    <t>SYSTEM-3871</t>
    <phoneticPr fontId="3"/>
  </si>
  <si>
    <t>【店ナビ】障害　SV名変更から戻るとエラーになる</t>
    <phoneticPr fontId="3"/>
  </si>
  <si>
    <t>SYSTEM-3843</t>
    <phoneticPr fontId="3"/>
  </si>
  <si>
    <t>【障害対応】ポイント計算不具合対応</t>
    <phoneticPr fontId="3"/>
  </si>
  <si>
    <t>HELPDESK-14038</t>
    <phoneticPr fontId="3"/>
  </si>
  <si>
    <t>HELPDESK-14083</t>
    <phoneticPr fontId="3"/>
  </si>
  <si>
    <t>【タブレット】7月復会学割コース変更ができない（新宿西口店）</t>
    <phoneticPr fontId="3"/>
  </si>
  <si>
    <t>HELPDESK-14144</t>
    <phoneticPr fontId="3"/>
  </si>
  <si>
    <t>【タブレット】復会コース変更申請ができない（横須賀中央アネックス）</t>
    <phoneticPr fontId="3"/>
  </si>
  <si>
    <t>FY19-220</t>
    <phoneticPr fontId="3"/>
  </si>
  <si>
    <t>閉店店舗のチケットを持っている人がいる</t>
    <phoneticPr fontId="3"/>
  </si>
  <si>
    <t>HELPDESK-13977</t>
    <phoneticPr fontId="3"/>
  </si>
  <si>
    <t>マイナス処理でポイントが減った（高島平店）</t>
    <phoneticPr fontId="3"/>
  </si>
  <si>
    <t>HELPDESK-14166</t>
    <phoneticPr fontId="3"/>
  </si>
  <si>
    <t>【確認】1-12KPI算出元データ(解約変更申請)上に表示されないレコードが存在している</t>
    <phoneticPr fontId="3"/>
  </si>
  <si>
    <t>予約専用ページ：LOSバナー【画像差し替え】のお願い（526）</t>
    <phoneticPr fontId="3"/>
  </si>
  <si>
    <t>HELPDESK-13992</t>
    <phoneticPr fontId="3"/>
  </si>
  <si>
    <t>学割M4で復会変更申請があげられない（吉祥寺）</t>
    <phoneticPr fontId="3"/>
  </si>
  <si>
    <t>SYSTEM-3903</t>
    <phoneticPr fontId="3"/>
  </si>
  <si>
    <t>予約専用ページ：採用バナー【設置】のお願い（624）</t>
    <phoneticPr fontId="3"/>
  </si>
  <si>
    <t>SYSTEM-3904</t>
    <phoneticPr fontId="3"/>
  </si>
  <si>
    <t>予約専用ページ：MGMバナー出し分けのご依頼（624)</t>
    <phoneticPr fontId="3"/>
  </si>
  <si>
    <t>SYSTEM-3914</t>
    <phoneticPr fontId="3"/>
  </si>
  <si>
    <t>アプリ│バナー差替依頼（200701）</t>
    <phoneticPr fontId="3"/>
  </si>
  <si>
    <t>FY19-179</t>
    <phoneticPr fontId="3"/>
  </si>
  <si>
    <t>FY19-221</t>
    <phoneticPr fontId="3"/>
  </si>
  <si>
    <t>FY19-174</t>
    <phoneticPr fontId="3"/>
  </si>
  <si>
    <t>【レスケ】新規枠の確認枠の追加</t>
    <phoneticPr fontId="3"/>
  </si>
  <si>
    <t>【運用改善】LAVA会員がLapre新規会員登録しないようにする</t>
    <phoneticPr fontId="3"/>
  </si>
  <si>
    <t>【障害】マンスリー変更した会員の新解約金更新バッチの実行結果が正しくない</t>
    <phoneticPr fontId="3"/>
  </si>
  <si>
    <t>アプリ　push通知のリグレッションテスト</t>
    <phoneticPr fontId="3"/>
  </si>
  <si>
    <t>受講していない予約の受講アンケート回答がある</t>
    <phoneticPr fontId="3"/>
  </si>
  <si>
    <t>SYSTEM-3926</t>
    <phoneticPr fontId="3"/>
  </si>
  <si>
    <t>WEBENTRY-112</t>
    <phoneticPr fontId="3"/>
  </si>
  <si>
    <t>【オープン日確定メール】1名送信エラー</t>
    <phoneticPr fontId="3"/>
  </si>
  <si>
    <t>FY19-241</t>
    <phoneticPr fontId="3"/>
  </si>
  <si>
    <t>【LAVA】業務問合せフォーム（LINEのポイント有効期限連絡の件） （イオン今治）</t>
    <phoneticPr fontId="3"/>
  </si>
  <si>
    <t>スタンプラリーのポイント付与がされていない件について(なんば店)</t>
    <phoneticPr fontId="3"/>
  </si>
  <si>
    <t>SYSTEM-3829</t>
    <phoneticPr fontId="3"/>
  </si>
  <si>
    <t>LapreGTM追加とインクルード</t>
    <phoneticPr fontId="3"/>
  </si>
  <si>
    <t>FY19-249</t>
    <phoneticPr fontId="3"/>
  </si>
  <si>
    <t>1-4帳票 Null Pointer（2020/07/01）</t>
    <phoneticPr fontId="3"/>
  </si>
  <si>
    <t>【アプリ】未読件数の鈴の表示件数について</t>
    <phoneticPr fontId="3"/>
  </si>
  <si>
    <t>【POS】全件検索に関して</t>
    <phoneticPr fontId="3"/>
  </si>
  <si>
    <t>FY19-213</t>
    <phoneticPr fontId="3"/>
  </si>
  <si>
    <t>Lapreにログインできない</t>
    <phoneticPr fontId="3"/>
  </si>
  <si>
    <t>FY18-76</t>
    <phoneticPr fontId="3"/>
  </si>
  <si>
    <t>SYSTEM-3961</t>
    <phoneticPr fontId="3"/>
  </si>
  <si>
    <t>予約専用ページ：採用バナー【URL変更】のお願い</t>
    <phoneticPr fontId="3"/>
  </si>
  <si>
    <t>予約専用ページ：夏祭りバナー【設置】のお願い</t>
    <phoneticPr fontId="3"/>
  </si>
  <si>
    <t>SYSTEM-4000</t>
    <phoneticPr fontId="3"/>
  </si>
  <si>
    <t>予約専用ページ：採用バナー【画像差し替え】のお願い（721）</t>
    <phoneticPr fontId="3"/>
  </si>
  <si>
    <t>【DB安定化】統計情報の自動更新</t>
    <phoneticPr fontId="3"/>
  </si>
  <si>
    <t>SYSTEM-4007</t>
    <phoneticPr fontId="3"/>
  </si>
  <si>
    <t>SYSTEM-4005</t>
    <phoneticPr fontId="3"/>
  </si>
  <si>
    <t>予約専用ページ：LOSバナー【画像差し替え】のお願い（722）</t>
    <phoneticPr fontId="3"/>
  </si>
  <si>
    <t>セルフチェックイン　特殊レッスン予約時のご案内表示</t>
    <phoneticPr fontId="3"/>
  </si>
  <si>
    <t>フロントシステムのCCユーザー権限の追加</t>
    <phoneticPr fontId="3"/>
  </si>
  <si>
    <t>SYSTEM-2419</t>
    <phoneticPr fontId="3"/>
  </si>
  <si>
    <t>学割登録不可条件追加</t>
    <phoneticPr fontId="3"/>
  </si>
  <si>
    <t>DDOC-169</t>
    <phoneticPr fontId="3"/>
  </si>
  <si>
    <t>解約変更　学割の休会・復会に関する障害</t>
    <phoneticPr fontId="3"/>
  </si>
  <si>
    <t>FY19-246</t>
    <phoneticPr fontId="3"/>
  </si>
  <si>
    <t>HELPDESK-13887</t>
    <phoneticPr fontId="3"/>
  </si>
  <si>
    <t>CSアンケート(Q3)文言変更</t>
    <phoneticPr fontId="3"/>
  </si>
  <si>
    <t>SYSTEM-3972</t>
    <phoneticPr fontId="3"/>
  </si>
  <si>
    <t>SYSTEM-4013</t>
    <phoneticPr fontId="3"/>
  </si>
  <si>
    <t>SYSTEM-3848</t>
    <phoneticPr fontId="3"/>
  </si>
  <si>
    <t>【2-3入金売上詳細（当月web）】OPEN前店舗の事前web申込者が乗っていない</t>
    <phoneticPr fontId="3"/>
  </si>
  <si>
    <t>スクリーンフル復会変更申請エラー</t>
    <phoneticPr fontId="3"/>
  </si>
  <si>
    <t>SYSTEM-4021</t>
    <phoneticPr fontId="3"/>
  </si>
  <si>
    <t>アプリ│バナー差替依頼（200801）</t>
    <phoneticPr fontId="3"/>
  </si>
  <si>
    <t>アプリ│バナー差替依頼（200804）</t>
    <phoneticPr fontId="3"/>
  </si>
  <si>
    <t>FY19-203</t>
    <phoneticPr fontId="3"/>
  </si>
  <si>
    <t>【コロナ対応】途中解約諸費用生産PJ（通称：25PJ）過去分差額返金対応</t>
    <phoneticPr fontId="3"/>
  </si>
  <si>
    <t xml:space="preserve"> 【コロナ対応】途中解約金の手続きルールの変更</t>
    <phoneticPr fontId="3"/>
  </si>
  <si>
    <t>SYSTEM-3787</t>
    <phoneticPr fontId="3"/>
  </si>
  <si>
    <t>ポイントの一括発行ができない</t>
    <phoneticPr fontId="3"/>
  </si>
  <si>
    <t>SYSTEM-3820</t>
    <phoneticPr fontId="3"/>
  </si>
  <si>
    <t>【コロナ対応】店舗フロントの解約申請書DLリンクの表示条件を変更</t>
    <phoneticPr fontId="3"/>
  </si>
  <si>
    <t>返金口座データ抽出</t>
    <phoneticPr fontId="3"/>
  </si>
  <si>
    <t>SYSTEM-3922</t>
    <phoneticPr fontId="3"/>
  </si>
  <si>
    <t>SYSTEM-4051</t>
    <phoneticPr fontId="3"/>
  </si>
  <si>
    <t>アプリ│バナー追加・表示順変更依頼（200811）</t>
    <phoneticPr fontId="3"/>
  </si>
  <si>
    <t>レスケ連打防止暫定対応(フロントシステムのみ)</t>
    <phoneticPr fontId="3"/>
  </si>
  <si>
    <t>FY19-262</t>
    <phoneticPr fontId="3"/>
  </si>
  <si>
    <t>FY19-264</t>
    <phoneticPr fontId="3"/>
  </si>
  <si>
    <t>【コロナ対応】解約金関連の文言修正</t>
    <phoneticPr fontId="3"/>
  </si>
  <si>
    <t>手ぶらセットの引換券をクーポン期限アラートメールの送信対象外クーポンとする</t>
    <phoneticPr fontId="3"/>
  </si>
  <si>
    <t>閉店統合対応(渋谷クロスタワー店、大和店)</t>
    <phoneticPr fontId="3"/>
  </si>
  <si>
    <t>FY19-270</t>
    <phoneticPr fontId="3"/>
  </si>
  <si>
    <t>【アプリ】[ポイント]ページの「Lapreでショッピング」ボタンに別のパラメータ付与</t>
    <phoneticPr fontId="3"/>
  </si>
  <si>
    <t>FY19-265</t>
    <phoneticPr fontId="3"/>
  </si>
  <si>
    <t>SYSTEM-4060</t>
    <phoneticPr fontId="3"/>
  </si>
  <si>
    <t>SYSTEM-4122</t>
    <phoneticPr fontId="3"/>
  </si>
  <si>
    <t>HELPDESK-14035</t>
    <phoneticPr fontId="3"/>
  </si>
  <si>
    <t>SYSTEM-4124</t>
    <phoneticPr fontId="3"/>
  </si>
  <si>
    <t>アプリ│バナー追加・表示順変更依頼（200901）</t>
    <phoneticPr fontId="3"/>
  </si>
  <si>
    <t>SYSTEM-4143</t>
    <phoneticPr fontId="3"/>
  </si>
  <si>
    <t>SYSTEM-4118</t>
    <phoneticPr fontId="3"/>
  </si>
  <si>
    <t xml:space="preserve">ポイントメンテナンス結果検証用バッチ処理の開発 </t>
    <phoneticPr fontId="3"/>
  </si>
  <si>
    <t>【障害】保有ポイント数算出バッチ　参照項目誤り</t>
    <phoneticPr fontId="3"/>
  </si>
  <si>
    <t>SYSTEM-4172</t>
    <phoneticPr fontId="3"/>
  </si>
  <si>
    <t>WEBENTRY-139</t>
    <phoneticPr fontId="3"/>
  </si>
  <si>
    <t>Lapreログイン画面に新規会員登録への導線を追加したい</t>
    <phoneticPr fontId="3"/>
  </si>
  <si>
    <t>SYSTEM-4218</t>
    <phoneticPr fontId="3"/>
  </si>
  <si>
    <t>公式アプリ改修（お知らせの表示順番&amp;表示期限）</t>
    <phoneticPr fontId="3"/>
  </si>
  <si>
    <t>予約専用ページ：採用バナー【画像差し替え】のお願い（9/21）</t>
    <phoneticPr fontId="3"/>
  </si>
  <si>
    <t>SYSTEM-4227</t>
    <phoneticPr fontId="3"/>
  </si>
  <si>
    <t>SYSTEM-4205</t>
    <phoneticPr fontId="3"/>
  </si>
  <si>
    <t>【障害】都道府県表示順誤り</t>
    <phoneticPr fontId="3"/>
  </si>
  <si>
    <t>【店ナビ】改修対応　Ver.1.2.4</t>
    <phoneticPr fontId="3"/>
  </si>
  <si>
    <t>SYSTEM-4249</t>
    <phoneticPr fontId="3"/>
  </si>
  <si>
    <t>SYSTEM-4160</t>
    <phoneticPr fontId="3"/>
  </si>
  <si>
    <t>カオナビ休職者情報インポート</t>
    <phoneticPr fontId="3"/>
  </si>
  <si>
    <t>SYSTEM-4153</t>
    <phoneticPr fontId="3"/>
  </si>
  <si>
    <t>岡崎店チケット付替え(値下げ)</t>
    <phoneticPr fontId="3"/>
  </si>
  <si>
    <t>FY19-283</t>
    <phoneticPr fontId="3"/>
  </si>
  <si>
    <t>体験予約の導線改善をおこなう。</t>
    <phoneticPr fontId="3"/>
  </si>
  <si>
    <t>FY19-282</t>
    <phoneticPr fontId="3"/>
  </si>
  <si>
    <t>SYSTEM-4276</t>
    <phoneticPr fontId="3"/>
  </si>
  <si>
    <t>SYSTEM-4298</t>
    <phoneticPr fontId="3"/>
  </si>
  <si>
    <t>SYSTEM-4284</t>
    <phoneticPr fontId="3"/>
  </si>
  <si>
    <t>LAVAAPR-258</t>
    <phoneticPr fontId="3"/>
  </si>
  <si>
    <t>【不具合】「パラメータが不正です」エラー</t>
    <phoneticPr fontId="3"/>
  </si>
  <si>
    <t>SYSTEM-4369</t>
    <phoneticPr fontId="3"/>
  </si>
  <si>
    <t>SYSTEM-4371</t>
    <phoneticPr fontId="3"/>
  </si>
  <si>
    <t>予約専用ページ：MGMバナー【出し分け】のご依頼（10/21)</t>
    <phoneticPr fontId="3"/>
  </si>
  <si>
    <t>予約専用ページ：ハイパーナイフバナー【URL差し替え】のお願い（10/22）</t>
    <phoneticPr fontId="3"/>
  </si>
  <si>
    <t>アプリ│バナー更新・下げ依頼（201102）</t>
    <phoneticPr fontId="3"/>
  </si>
  <si>
    <t>SYSTEM-4370</t>
    <phoneticPr fontId="3"/>
  </si>
  <si>
    <t>予約専用ページ：LOSバナー【画像差し替え】のお願い（10/21）</t>
    <phoneticPr fontId="3"/>
  </si>
  <si>
    <t>新キャンペーン実施に伴う見積もり</t>
    <phoneticPr fontId="3"/>
  </si>
  <si>
    <t>マンスリーシステム　〆日の改修</t>
    <phoneticPr fontId="3"/>
  </si>
  <si>
    <t>SYSTEM-3569</t>
    <phoneticPr fontId="3"/>
  </si>
  <si>
    <t>SYSTEM-4280</t>
    <phoneticPr fontId="3"/>
  </si>
  <si>
    <t xml:space="preserve">【ＨＲ】経理用CSVに川崎店交通費が発生している。 </t>
    <phoneticPr fontId="3"/>
  </si>
  <si>
    <t>WEBENTRY-147</t>
    <phoneticPr fontId="3"/>
  </si>
  <si>
    <t>画面の「戻る」ボタンを押して戻るとコースが表示されなくなる</t>
    <phoneticPr fontId="3"/>
  </si>
  <si>
    <t>アプリ│「会員証」ページプラパス画像差し替え</t>
    <phoneticPr fontId="3"/>
  </si>
  <si>
    <t>SYSTEM-4435</t>
    <phoneticPr fontId="3"/>
  </si>
  <si>
    <t>1.2月お友達紹介CPアンケートフォーム作成</t>
    <phoneticPr fontId="3"/>
  </si>
  <si>
    <t>一部店舗でのマタニティレッスン提供終了について(12月末)</t>
    <phoneticPr fontId="3"/>
  </si>
  <si>
    <t>SYSTEM-4432</t>
    <phoneticPr fontId="3"/>
  </si>
  <si>
    <t>バッチサーバ(76)のタスクの実行時のログオン有無確認</t>
    <phoneticPr fontId="3"/>
  </si>
  <si>
    <t>ポイントメンテナンス画面にて期間限定ポイントのマイナスポイント付与が可能</t>
    <phoneticPr fontId="3"/>
  </si>
  <si>
    <t>SYSTEM-4091</t>
    <phoneticPr fontId="3"/>
  </si>
  <si>
    <t>ポイントメンテナンス画面にて一部の付与区分選択時にNullPointerExceptionが発生</t>
    <phoneticPr fontId="3"/>
  </si>
  <si>
    <t>セルフチェックイン_16秒かかった重いSQL</t>
    <phoneticPr fontId="3"/>
  </si>
  <si>
    <t>SYSTEM-4445</t>
    <phoneticPr fontId="3"/>
  </si>
  <si>
    <t>予約専用ページ：バナー掲載順変更のお願い（11/27）</t>
    <phoneticPr fontId="3"/>
  </si>
  <si>
    <t>SYSTEM-4468</t>
    <phoneticPr fontId="3"/>
  </si>
  <si>
    <t>予約専用ページ：FIRSTSHIPバナー【画像差し替え】のお願い（11/27）</t>
    <phoneticPr fontId="3"/>
  </si>
  <si>
    <t>FY19-289</t>
    <phoneticPr fontId="3"/>
  </si>
  <si>
    <t>SYSTEM-4451</t>
    <phoneticPr fontId="3"/>
  </si>
  <si>
    <t>【調査依頼】1-1、1-15帳票の税抜額の算出について</t>
    <phoneticPr fontId="3"/>
  </si>
  <si>
    <t>SYSTEM-4464</t>
    <phoneticPr fontId="3"/>
  </si>
  <si>
    <t>SYSTEM-4475</t>
    <phoneticPr fontId="3"/>
  </si>
  <si>
    <t>【フェーズ２】LAVA予約フォーム新規登録画面の改修</t>
    <phoneticPr fontId="3"/>
  </si>
  <si>
    <t>FY19-292</t>
    <phoneticPr fontId="3"/>
  </si>
  <si>
    <t xml:space="preserve">【確認依頼】被紹介者にポイントが発行されない件 </t>
    <phoneticPr fontId="3"/>
  </si>
  <si>
    <t xml:space="preserve">1-9KPI算出元データ(実施レッスン実績)とalbiteLesson本数が合わない(杉山美保子IR)  </t>
    <phoneticPr fontId="3"/>
  </si>
  <si>
    <t>SYSTEM-4089</t>
    <phoneticPr fontId="3"/>
  </si>
  <si>
    <t>【障害】ビンゴスタンプ遡及バッチ処理</t>
    <phoneticPr fontId="3"/>
  </si>
  <si>
    <t>アプリ│バナー更新依頼（201221）</t>
    <phoneticPr fontId="3"/>
  </si>
  <si>
    <t>SYSTEM-4509</t>
    <phoneticPr fontId="3"/>
  </si>
  <si>
    <t>自動配信メール：体験時の持ち物の記述の変更</t>
    <phoneticPr fontId="3"/>
  </si>
  <si>
    <t>【運用改善】ポイント履歴の表示</t>
    <phoneticPr fontId="3"/>
  </si>
  <si>
    <t>【LINE】ポイントアラートPUSH通知　送信エラー(7/31)</t>
    <phoneticPr fontId="3"/>
  </si>
  <si>
    <t>SYSTEM-4507</t>
    <phoneticPr fontId="3"/>
  </si>
  <si>
    <t>予約専用ページ：FIRSTSHIP・YogaFullバナー【掲載終了】のお願い（12/15）</t>
    <phoneticPr fontId="3"/>
  </si>
  <si>
    <t>SYSTEM-4524</t>
    <phoneticPr fontId="3"/>
  </si>
  <si>
    <t>アプリ│バナー更新依頼（210106）</t>
    <phoneticPr fontId="3"/>
  </si>
  <si>
    <t>SYSTEM-4488</t>
    <phoneticPr fontId="3"/>
  </si>
  <si>
    <t>ポイント利用対象外のマスタ登録を不要にしたい</t>
    <phoneticPr fontId="3"/>
  </si>
  <si>
    <t>SYSTEM-4498</t>
    <phoneticPr fontId="3"/>
  </si>
  <si>
    <t>SYSTEM-4542</t>
    <phoneticPr fontId="3"/>
  </si>
  <si>
    <t>SYSTEM-4555</t>
    <phoneticPr fontId="3"/>
  </si>
  <si>
    <t>SYSTEM-4545</t>
    <phoneticPr fontId="3"/>
  </si>
  <si>
    <t xml:space="preserve"> 【アプリ】調査依頼　お知らせをタップした時の仕様について</t>
    <phoneticPr fontId="3"/>
  </si>
  <si>
    <t>SYSTEM-4536</t>
    <phoneticPr fontId="3"/>
  </si>
  <si>
    <t>SYSTEM-3940</t>
    <phoneticPr fontId="3"/>
  </si>
  <si>
    <t>【予約・フロント】IllegalStateExceptionが常に出力されている</t>
    <phoneticPr fontId="3"/>
  </si>
  <si>
    <t>HELPDESK-16291</t>
    <phoneticPr fontId="3"/>
  </si>
  <si>
    <t>WEBENTRY-143</t>
    <phoneticPr fontId="3"/>
  </si>
  <si>
    <t>Web入会の取消を行うと「決済キャンセル処理に失敗しました。・・・」となる</t>
    <phoneticPr fontId="3"/>
  </si>
  <si>
    <t>【調査】1-1帳票　原価税抜が最終仕入日の税率で計算されている経緯</t>
    <phoneticPr fontId="3"/>
  </si>
  <si>
    <t>SYSTEM-4588</t>
    <phoneticPr fontId="3"/>
  </si>
  <si>
    <t>予約専用ページ：MGMバナー【URL切替】のお願い（1/27）</t>
    <phoneticPr fontId="3"/>
  </si>
  <si>
    <t>アプリ│「会員証」ページプラパス画像差し替え_210203</t>
    <phoneticPr fontId="3"/>
  </si>
  <si>
    <t>【LINE】PUSH通知の障害時の通知について</t>
    <phoneticPr fontId="3"/>
  </si>
  <si>
    <t>【閉店統合】相模大野店　店舗選択非表示対応</t>
    <phoneticPr fontId="3"/>
  </si>
  <si>
    <t>FY19-307</t>
    <phoneticPr fontId="3"/>
  </si>
  <si>
    <t>2021年4月～プログラムチャレンジスタンプラリー</t>
    <phoneticPr fontId="3"/>
  </si>
  <si>
    <t>SYSTEM-4623</t>
    <phoneticPr fontId="3"/>
  </si>
  <si>
    <t>体験予約完了画面のバナー遷移先変更</t>
    <phoneticPr fontId="3"/>
  </si>
  <si>
    <t>SYSTEM-4648</t>
    <phoneticPr fontId="3"/>
  </si>
  <si>
    <t>アプリ│バナー更新依頼（210302･03）</t>
    <phoneticPr fontId="3"/>
  </si>
  <si>
    <t>予約専用ページ：LOSバナー【画像差し替え】のお願い（2/16）</t>
    <phoneticPr fontId="3"/>
  </si>
  <si>
    <t>HELPDESK-16627</t>
    <phoneticPr fontId="3"/>
  </si>
  <si>
    <t>SEASON4-183</t>
    <phoneticPr fontId="3"/>
  </si>
  <si>
    <t>HELPDESK-16709</t>
    <phoneticPr fontId="3"/>
  </si>
  <si>
    <t>SYSTEM-4655</t>
    <phoneticPr fontId="3"/>
  </si>
  <si>
    <t>池袋東口店への復会申請ができない</t>
    <phoneticPr fontId="3"/>
  </si>
  <si>
    <t>SYSTEM-4659</t>
    <phoneticPr fontId="3"/>
  </si>
  <si>
    <t>おためしパック解約金アラート文の設定</t>
    <phoneticPr fontId="3"/>
  </si>
  <si>
    <t>【WSUS】WSUS障害・再構築</t>
    <phoneticPr fontId="3"/>
  </si>
  <si>
    <t>FY19-310</t>
    <phoneticPr fontId="3"/>
  </si>
  <si>
    <t>申請状況確認 画面の金額がおかしい</t>
    <phoneticPr fontId="3"/>
  </si>
  <si>
    <t>HELPDESK-17024</t>
    <phoneticPr fontId="3"/>
  </si>
  <si>
    <t>『相互利用』設定について(運営部 知念さん)</t>
    <phoneticPr fontId="3"/>
  </si>
  <si>
    <t>予約専用ページ：MGMバナー【差し替え】のご依頼（3/22)</t>
    <phoneticPr fontId="3"/>
  </si>
  <si>
    <t>予約専用ページ：うちヨガ＋バナー【差し替え】のお願い（3/19）</t>
    <phoneticPr fontId="3"/>
  </si>
  <si>
    <t>SYSTEM-4699</t>
    <phoneticPr fontId="3"/>
  </si>
  <si>
    <t>SYSTEM-4714</t>
    <phoneticPr fontId="3"/>
  </si>
  <si>
    <t>SYSTEM-4667</t>
    <phoneticPr fontId="3"/>
  </si>
  <si>
    <t>LapreFTPサーバの拡張子制限に伴う改修について</t>
    <phoneticPr fontId="3"/>
  </si>
  <si>
    <t>SYSTEM-4680</t>
    <phoneticPr fontId="3"/>
  </si>
  <si>
    <t>アプリ | 未読鈴の改修</t>
    <phoneticPr fontId="3"/>
  </si>
  <si>
    <t>FY19-316</t>
    <phoneticPr fontId="3"/>
  </si>
  <si>
    <t>SYSTEM-4574</t>
    <phoneticPr fontId="3"/>
  </si>
  <si>
    <t>HELPDESK-17305</t>
    <phoneticPr fontId="3"/>
  </si>
  <si>
    <t>在庫管理システムの定期発注で、ファーストシップの表示が消えてしまった</t>
    <phoneticPr fontId="3"/>
  </si>
  <si>
    <t>SYSTEM-4773</t>
    <phoneticPr fontId="3"/>
  </si>
  <si>
    <t>SYSTEM-4770</t>
    <phoneticPr fontId="3"/>
  </si>
  <si>
    <t>リロクラブ連携データの項目追加</t>
    <phoneticPr fontId="3"/>
  </si>
  <si>
    <t>LAVA予約フォーム新規登録画面の改修</t>
    <phoneticPr fontId="3"/>
  </si>
  <si>
    <t>後日入会POSが打てない（イオン札幌元町）</t>
    <phoneticPr fontId="3"/>
  </si>
  <si>
    <t>ＭＧＭ後日発行ができない（ディオス北千里）</t>
    <phoneticPr fontId="3"/>
  </si>
  <si>
    <t>FY19-295</t>
    <phoneticPr fontId="3"/>
  </si>
  <si>
    <t>【店ナビ】改修対応　Ver.1.2.5</t>
    <phoneticPr fontId="3"/>
  </si>
  <si>
    <t>【障害】おためしパック解約申請時にアラートが表示されない。</t>
    <phoneticPr fontId="3"/>
  </si>
  <si>
    <t>SYSTEM-4778</t>
    <phoneticPr fontId="3"/>
  </si>
  <si>
    <t>エリアマネージャーを配置表から取り込む</t>
    <phoneticPr fontId="3"/>
  </si>
  <si>
    <t>SYSTEM-4775</t>
    <phoneticPr fontId="3"/>
  </si>
  <si>
    <t>アプリ│バナー更新依頼（210501）</t>
    <phoneticPr fontId="3"/>
  </si>
  <si>
    <t>SYSTEM-4800</t>
    <phoneticPr fontId="3"/>
  </si>
  <si>
    <t>3-1.在庫管理表の改修</t>
    <phoneticPr fontId="3"/>
  </si>
  <si>
    <t>SYSTEM-4729</t>
    <phoneticPr fontId="3"/>
  </si>
  <si>
    <t>【調査】受講履歴を削除した場合の影響</t>
    <phoneticPr fontId="3"/>
  </si>
  <si>
    <t>予約専用ページ：LOSバナー【画像差し替え】のお願い（5/17）</t>
    <phoneticPr fontId="3"/>
  </si>
  <si>
    <t>SYSTEM-4839</t>
    <phoneticPr fontId="3"/>
  </si>
  <si>
    <t>SYSTEM-4838</t>
    <phoneticPr fontId="3"/>
  </si>
  <si>
    <t>SYSTEM-4846</t>
    <phoneticPr fontId="3"/>
  </si>
  <si>
    <t xml:space="preserve"> アプリ│バナー更新依頼（210601）</t>
    <phoneticPr fontId="3"/>
  </si>
  <si>
    <t>【シフト適正化】INPUTシート改修No.106,109,110,115</t>
    <phoneticPr fontId="3"/>
  </si>
  <si>
    <t>HELPDESK-17617</t>
    <phoneticPr fontId="3"/>
  </si>
  <si>
    <t>お客様の受講処理について（川崎ゼロゲート店）</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</si>
</sst>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176" formatCode="&quot;¥&quot;#,##0_);\(&quot;¥&quot;#,##0\)"/>
    <numFmt numFmtId="177" formatCode="&quot;¥&quot;#,##0_);[Red]\(&quot;¥&quot;#,##0\)"/>
    <numFmt numFmtId="178" formatCode="#,##0;\-#,##0;&quot;-&quot;"/>
    <numFmt numFmtId="179" formatCode="yyyy&quot;年&quot;mm&quot;月&quot;"/>
    <numFmt numFmtId="180" formatCode="yyyy/m"/>
  </numFmts>
  <fonts count="39">
    <font>
      <sz val="11"/>
      <color theme="1"/>
      <name val="ＭＳ Ｐゴシック"/>
      <family val="2"/>
      <charset val="128"/>
      <scheme val="minor"/>
    </font>
    <font>
      <sz val="11"/>
      <color theme="1"/>
      <name val="ＭＳ Ｐゴシック"/>
      <family val="2"/>
      <charset val="128"/>
      <scheme val="minor"/>
    </font>
    <font>
      <sz val="8"/>
      <color theme="1"/>
      <name val="Meiryo UI"/>
      <family val="3"/>
      <charset val="128"/>
    </font>
    <font>
      <sz val="6"/>
      <name val="ＭＳ Ｐゴシック"/>
      <family val="2"/>
      <charset val="128"/>
      <scheme val="minor"/>
    </font>
    <font>
      <b/>
      <sz val="12"/>
      <color theme="1"/>
      <name val="Meiryo UI"/>
      <family val="3"/>
      <charset val="128"/>
    </font>
    <font>
      <sz val="11"/>
      <color indexed="8"/>
      <name val="ＭＳ Ｐゴシック"/>
      <family val="3"/>
      <charset val="128"/>
    </font>
    <font>
      <sz val="11"/>
      <color indexed="9"/>
      <name val="ＭＳ Ｐゴシック"/>
      <family val="3"/>
      <charset val="128"/>
    </font>
    <font>
      <sz val="10"/>
      <color indexed="8"/>
      <name val="Arial"/>
      <family val="2"/>
    </font>
    <font>
      <b/>
      <sz val="12"/>
      <name val="Arial"/>
      <family val="2"/>
    </font>
    <font>
      <sz val="10"/>
      <name val="Arial"/>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name val="ＭＳ Ｐゴシック"/>
      <family val="3"/>
      <charset val="128"/>
    </font>
    <font>
      <u/>
      <sz val="9.35"/>
      <color indexed="12"/>
      <name val="ＭＳ Ｐゴシック"/>
      <family val="3"/>
      <charset val="128"/>
    </font>
    <font>
      <sz val="11"/>
      <name val="ＭＳ 明朝"/>
      <family val="1"/>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theme="1"/>
      <name val="ＭＳ Ｐゴシック"/>
      <family val="2"/>
      <charset val="128"/>
    </font>
    <font>
      <sz val="11"/>
      <color theme="1"/>
      <name val="ＭＳ Ｐゴシック"/>
      <family val="3"/>
      <charset val="128"/>
    </font>
    <font>
      <sz val="11"/>
      <color theme="1"/>
      <name val="ＭＳ Ｐゴシック"/>
      <family val="3"/>
      <charset val="128"/>
      <scheme val="minor"/>
    </font>
    <font>
      <sz val="11"/>
      <color theme="1"/>
      <name val="ＭＳ Ｐゴシック"/>
      <family val="2"/>
      <scheme val="minor"/>
    </font>
    <font>
      <sz val="10"/>
      <name val="ＭＳ Ｐゴシック"/>
      <family val="3"/>
      <charset val="128"/>
    </font>
    <font>
      <sz val="11"/>
      <color indexed="17"/>
      <name val="ＭＳ Ｐゴシック"/>
      <family val="3"/>
      <charset val="128"/>
    </font>
    <font>
      <sz val="10"/>
      <color theme="1"/>
      <name val="ＭＳ Ｐゴシック"/>
      <family val="2"/>
      <charset val="128"/>
      <scheme val="minor"/>
    </font>
    <font>
      <sz val="10"/>
      <color theme="1"/>
      <name val="ＭＳ Ｐゴシック"/>
      <family val="3"/>
      <charset val="128"/>
      <scheme val="minor"/>
    </font>
    <font>
      <sz val="10"/>
      <color theme="1"/>
      <name val="ＭＳ Ｐゴシック"/>
      <family val="3"/>
      <charset val="128"/>
      <scheme val="major"/>
    </font>
    <font>
      <sz val="11"/>
      <name val="ＭＳ Ｐゴシック"/>
      <family val="3"/>
      <charset val="128"/>
      <scheme val="minor"/>
    </font>
    <font>
      <sz val="11"/>
      <color rgb="FF000000"/>
      <name val="ＭＳ Ｐゴシック"/>
      <family val="3"/>
      <charset val="128"/>
    </font>
    <font>
      <b/>
      <sz val="9"/>
      <color indexed="81"/>
      <name val="MS P ゴシック"/>
      <family val="3"/>
      <charset val="128"/>
    </font>
  </fonts>
  <fills count="34">
    <fill>
      <patternFill patternType="none"/>
    </fill>
    <fill>
      <patternFill patternType="gray125"/>
    </fill>
    <fill>
      <patternFill patternType="solid">
        <fgColor rgb="FFFFFFCC"/>
      </patternFill>
    </fill>
    <fill>
      <patternFill patternType="solid">
        <fgColor theme="8"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rgb="FFFFFFCC"/>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bgColor indexed="64"/>
      </patternFill>
    </fill>
  </fills>
  <borders count="60">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hair">
        <color auto="1"/>
      </top>
      <bottom style="hair">
        <color auto="1"/>
      </bottom>
      <diagonal/>
    </border>
    <border>
      <left style="thin">
        <color indexed="64"/>
      </left>
      <right/>
      <top/>
      <bottom style="thin">
        <color indexed="64"/>
      </bottom>
      <diagonal/>
    </border>
    <border>
      <left style="thin">
        <color indexed="64"/>
      </left>
      <right/>
      <top style="thin">
        <color indexed="64"/>
      </top>
      <bottom/>
      <diagonal/>
    </border>
    <border>
      <left/>
      <right/>
      <top style="medium">
        <color auto="1"/>
      </top>
      <bottom style="medium">
        <color auto="1"/>
      </bottom>
      <diagonal/>
    </border>
    <border>
      <left/>
      <right/>
      <top style="thin">
        <color auto="1"/>
      </top>
      <bottom style="thin">
        <color auto="1"/>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indexed="64"/>
      </right>
      <top style="thin">
        <color auto="1"/>
      </top>
      <bottom/>
      <diagonal/>
    </border>
    <border>
      <left style="thin">
        <color indexed="64"/>
      </left>
      <right/>
      <top style="thin">
        <color indexed="64"/>
      </top>
      <bottom style="thin">
        <color indexed="64"/>
      </bottom>
      <diagonal/>
    </border>
    <border>
      <left style="thin">
        <color indexed="64"/>
      </left>
      <right style="hair">
        <color auto="1"/>
      </right>
      <top style="thin">
        <color auto="1"/>
      </top>
      <bottom style="thin">
        <color indexed="64"/>
      </bottom>
      <diagonal/>
    </border>
    <border>
      <left style="hair">
        <color auto="1"/>
      </left>
      <right style="hair">
        <color auto="1"/>
      </right>
      <top style="thin">
        <color auto="1"/>
      </top>
      <bottom style="thin">
        <color indexed="64"/>
      </bottom>
      <diagonal/>
    </border>
    <border>
      <left style="hair">
        <color auto="1"/>
      </left>
      <right style="thin">
        <color auto="1"/>
      </right>
      <top style="thin">
        <color auto="1"/>
      </top>
      <bottom style="thin">
        <color indexed="64"/>
      </bottom>
      <diagonal/>
    </border>
    <border>
      <left/>
      <right style="hair">
        <color auto="1"/>
      </right>
      <top style="thin">
        <color auto="1"/>
      </top>
      <bottom style="thin">
        <color indexed="64"/>
      </bottom>
      <diagonal/>
    </border>
    <border>
      <left style="hair">
        <color auto="1"/>
      </left>
      <right/>
      <top style="thin">
        <color auto="1"/>
      </top>
      <bottom style="thin">
        <color indexed="64"/>
      </bottom>
      <diagonal/>
    </border>
    <border>
      <left style="thin">
        <color auto="1"/>
      </left>
      <right style="hair">
        <color auto="1"/>
      </right>
      <top/>
      <bottom style="thin">
        <color auto="1"/>
      </bottom>
      <diagonal/>
    </border>
    <border>
      <left style="hair">
        <color auto="1"/>
      </left>
      <right style="thin">
        <color auto="1"/>
      </right>
      <top/>
      <bottom style="thin">
        <color auto="1"/>
      </bottom>
      <diagonal/>
    </border>
    <border>
      <left style="hair">
        <color indexed="64"/>
      </left>
      <right/>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auto="1"/>
      </top>
      <bottom style="thin">
        <color auto="1"/>
      </bottom>
      <diagonal/>
    </border>
  </borders>
  <cellStyleXfs count="298">
    <xf numFmtId="0" fontId="0" fillId="0" borderId="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11" borderId="0" applyNumberFormat="0" applyBorder="0" applyAlignment="0" applyProtection="0">
      <alignment vertical="center"/>
    </xf>
    <xf numFmtId="0" fontId="5" fillId="12" borderId="0" applyNumberFormat="0" applyBorder="0" applyAlignment="0" applyProtection="0">
      <alignment vertical="center"/>
    </xf>
    <xf numFmtId="0" fontId="5" fillId="7" borderId="0" applyNumberFormat="0" applyBorder="0" applyAlignment="0" applyProtection="0">
      <alignment vertical="center"/>
    </xf>
    <xf numFmtId="0" fontId="5" fillId="10" borderId="0" applyNumberFormat="0" applyBorder="0" applyAlignment="0" applyProtection="0">
      <alignment vertical="center"/>
    </xf>
    <xf numFmtId="0" fontId="5" fillId="13" borderId="0" applyNumberFormat="0" applyBorder="0" applyAlignment="0" applyProtection="0">
      <alignment vertical="center"/>
    </xf>
    <xf numFmtId="0" fontId="6" fillId="14" borderId="0" applyNumberFormat="0" applyBorder="0" applyAlignment="0" applyProtection="0">
      <alignment vertical="center"/>
    </xf>
    <xf numFmtId="0" fontId="6" fillId="11" borderId="0" applyNumberFormat="0" applyBorder="0" applyAlignment="0" applyProtection="0">
      <alignment vertical="center"/>
    </xf>
    <xf numFmtId="0" fontId="6" fillId="12"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178" fontId="7" fillId="0" borderId="0" applyFill="0" applyBorder="0" applyAlignment="0"/>
    <xf numFmtId="0" fontId="8" fillId="0" borderId="5" applyNumberFormat="0" applyAlignment="0" applyProtection="0">
      <alignment horizontal="left" vertical="center"/>
    </xf>
    <xf numFmtId="0" fontId="8" fillId="0" borderId="6">
      <alignment horizontal="left" vertical="center"/>
    </xf>
    <xf numFmtId="0" fontId="9" fillId="0" borderId="0"/>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21" borderId="0" applyNumberFormat="0" applyBorder="0" applyAlignment="0" applyProtection="0">
      <alignment vertical="center"/>
    </xf>
    <xf numFmtId="0" fontId="10" fillId="0" borderId="0" applyNumberFormat="0" applyFill="0" applyBorder="0" applyAlignment="0" applyProtection="0">
      <alignment vertical="center"/>
    </xf>
    <xf numFmtId="0" fontId="11" fillId="22" borderId="7" applyNumberFormat="0" applyAlignment="0" applyProtection="0">
      <alignment vertical="center"/>
    </xf>
    <xf numFmtId="0" fontId="12" fillId="23" borderId="0" applyNumberFormat="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3"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0" fontId="14" fillId="0" borderId="0" applyNumberFormat="0" applyFill="0" applyBorder="0" applyAlignment="0" applyProtection="0">
      <alignment vertical="top"/>
      <protection locked="0"/>
    </xf>
    <xf numFmtId="0" fontId="13" fillId="24" borderId="8" applyNumberFormat="0" applyFont="0" applyAlignment="0" applyProtection="0">
      <alignment vertical="center"/>
    </xf>
    <xf numFmtId="0" fontId="15" fillId="24" borderId="8" applyNumberFormat="0" applyFont="0" applyAlignment="0" applyProtection="0">
      <alignment vertical="center"/>
    </xf>
    <xf numFmtId="0" fontId="13" fillId="24" borderId="8" applyNumberFormat="0" applyFont="0" applyAlignment="0" applyProtection="0">
      <alignment vertical="center"/>
    </xf>
    <xf numFmtId="0" fontId="15" fillId="24" borderId="8" applyNumberFormat="0" applyFont="0" applyAlignment="0" applyProtection="0">
      <alignment vertical="center"/>
    </xf>
    <xf numFmtId="0" fontId="1" fillId="2" borderId="1" applyNumberFormat="0" applyFont="0" applyAlignment="0" applyProtection="0">
      <alignment vertical="center"/>
    </xf>
    <xf numFmtId="0" fontId="1" fillId="2" borderId="1" applyNumberFormat="0" applyFont="0" applyAlignment="0" applyProtection="0">
      <alignment vertical="center"/>
    </xf>
    <xf numFmtId="0" fontId="16" fillId="0" borderId="9" applyNumberFormat="0" applyFill="0" applyAlignment="0" applyProtection="0">
      <alignment vertical="center"/>
    </xf>
    <xf numFmtId="0" fontId="17" fillId="5" borderId="0" applyNumberFormat="0" applyBorder="0" applyAlignment="0" applyProtection="0">
      <alignment vertical="center"/>
    </xf>
    <xf numFmtId="0" fontId="18" fillId="25" borderId="10" applyNumberFormat="0" applyAlignment="0" applyProtection="0">
      <alignment vertical="center"/>
    </xf>
    <xf numFmtId="0" fontId="18" fillId="25" borderId="10" applyNumberFormat="0" applyAlignment="0" applyProtection="0">
      <alignment vertical="center"/>
    </xf>
    <xf numFmtId="0" fontId="19" fillId="0" borderId="0" applyNumberFormat="0" applyFill="0" applyBorder="0" applyAlignment="0" applyProtection="0">
      <alignment vertical="center"/>
    </xf>
    <xf numFmtId="38" fontId="13"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3" fillId="0" borderId="0" applyFont="0" applyFill="0" applyBorder="0" applyAlignment="0" applyProtection="0">
      <alignment vertical="center"/>
    </xf>
    <xf numFmtId="38" fontId="13"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38" fontId="13" fillId="0" borderId="0" applyFont="0" applyFill="0" applyBorder="0" applyAlignment="0" applyProtection="0">
      <alignment vertical="center"/>
    </xf>
    <xf numFmtId="38" fontId="13" fillId="0" borderId="0" applyFont="0" applyFill="0" applyBorder="0" applyAlignment="0" applyProtection="0">
      <alignment vertical="center"/>
    </xf>
    <xf numFmtId="0" fontId="20" fillId="0" borderId="11" applyNumberFormat="0" applyFill="0" applyAlignment="0" applyProtection="0">
      <alignment vertical="center"/>
    </xf>
    <xf numFmtId="0" fontId="21" fillId="0" borderId="12" applyNumberFormat="0" applyFill="0" applyAlignment="0" applyProtection="0">
      <alignment vertical="center"/>
    </xf>
    <xf numFmtId="0" fontId="22" fillId="0" borderId="13" applyNumberFormat="0" applyFill="0" applyAlignment="0" applyProtection="0">
      <alignment vertical="center"/>
    </xf>
    <xf numFmtId="0" fontId="22" fillId="0" borderId="0" applyNumberFormat="0" applyFill="0" applyBorder="0" applyAlignment="0" applyProtection="0">
      <alignment vertical="center"/>
    </xf>
    <xf numFmtId="0" fontId="23" fillId="0" borderId="14" applyNumberFormat="0" applyFill="0" applyAlignment="0" applyProtection="0">
      <alignment vertical="center"/>
    </xf>
    <xf numFmtId="0" fontId="23" fillId="0" borderId="14" applyNumberFormat="0" applyFill="0" applyAlignment="0" applyProtection="0">
      <alignment vertical="center"/>
    </xf>
    <xf numFmtId="0" fontId="24" fillId="25" borderId="15" applyNumberFormat="0" applyAlignment="0" applyProtection="0">
      <alignment vertical="center"/>
    </xf>
    <xf numFmtId="0" fontId="24" fillId="25" borderId="15" applyNumberFormat="0" applyAlignment="0" applyProtection="0">
      <alignment vertical="center"/>
    </xf>
    <xf numFmtId="0" fontId="25" fillId="0" borderId="0" applyNumberFormat="0" applyFill="0" applyBorder="0" applyAlignment="0" applyProtection="0">
      <alignment vertical="center"/>
    </xf>
    <xf numFmtId="177" fontId="13" fillId="0" borderId="0" applyFont="0" applyFill="0" applyBorder="0" applyAlignment="0" applyProtection="0">
      <alignment vertical="center"/>
    </xf>
    <xf numFmtId="177" fontId="13" fillId="0" borderId="0" applyFont="0" applyFill="0" applyBorder="0" applyAlignment="0" applyProtection="0">
      <alignment vertical="center"/>
    </xf>
    <xf numFmtId="177" fontId="1" fillId="0" borderId="0" applyFont="0" applyFill="0" applyBorder="0" applyAlignment="0" applyProtection="0">
      <alignment vertical="center"/>
    </xf>
    <xf numFmtId="0" fontId="26" fillId="9" borderId="10" applyNumberFormat="0" applyAlignment="0" applyProtection="0">
      <alignment vertical="center"/>
    </xf>
    <xf numFmtId="0" fontId="26" fillId="9" borderId="10" applyNumberForma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7"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xf numFmtId="0" fontId="13" fillId="0" borderId="0">
      <alignment vertical="center"/>
    </xf>
    <xf numFmtId="0" fontId="27" fillId="0" borderId="0">
      <alignment vertical="center"/>
    </xf>
    <xf numFmtId="0" fontId="28" fillId="0" borderId="0">
      <alignment vertical="center"/>
    </xf>
    <xf numFmtId="0" fontId="29" fillId="0" borderId="0">
      <alignment vertical="center"/>
    </xf>
    <xf numFmtId="0" fontId="30" fillId="0" borderId="0"/>
    <xf numFmtId="0" fontId="13" fillId="0" borderId="0">
      <alignment vertical="center"/>
    </xf>
    <xf numFmtId="0" fontId="13" fillId="0" borderId="0">
      <alignment vertical="center"/>
    </xf>
    <xf numFmtId="0" fontId="13" fillId="0" borderId="0">
      <alignment vertical="center"/>
    </xf>
    <xf numFmtId="0" fontId="13"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9" fillId="0" borderId="0">
      <alignment vertical="center"/>
    </xf>
    <xf numFmtId="0" fontId="13" fillId="0" borderId="0">
      <alignment vertical="center"/>
    </xf>
    <xf numFmtId="0" fontId="29" fillId="0" borderId="0">
      <alignment vertical="center"/>
    </xf>
    <xf numFmtId="0" fontId="31" fillId="0" borderId="0"/>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pplyNumberFormat="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3"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7"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7" fillId="0" borderId="0">
      <alignment vertical="center"/>
    </xf>
    <xf numFmtId="0" fontId="32" fillId="6" borderId="0" applyNumberFormat="0" applyBorder="0" applyAlignment="0" applyProtection="0">
      <alignment vertical="center"/>
    </xf>
    <xf numFmtId="0" fontId="8" fillId="0" borderId="39">
      <alignment horizontal="left" vertical="center"/>
    </xf>
    <xf numFmtId="0" fontId="13" fillId="24" borderId="40" applyNumberFormat="0" applyFont="0" applyAlignment="0" applyProtection="0">
      <alignment vertical="center"/>
    </xf>
    <xf numFmtId="0" fontId="15" fillId="24" borderId="40" applyNumberFormat="0" applyFont="0" applyAlignment="0" applyProtection="0">
      <alignment vertical="center"/>
    </xf>
    <xf numFmtId="0" fontId="13" fillId="24" borderId="40" applyNumberFormat="0" applyFont="0" applyAlignment="0" applyProtection="0">
      <alignment vertical="center"/>
    </xf>
    <xf numFmtId="0" fontId="15" fillId="24" borderId="40" applyNumberFormat="0" applyFont="0" applyAlignment="0" applyProtection="0">
      <alignment vertical="center"/>
    </xf>
    <xf numFmtId="0" fontId="18" fillId="25" borderId="41" applyNumberFormat="0" applyAlignment="0" applyProtection="0">
      <alignment vertical="center"/>
    </xf>
    <xf numFmtId="0" fontId="18" fillId="25" borderId="41" applyNumberFormat="0" applyAlignment="0" applyProtection="0">
      <alignment vertical="center"/>
    </xf>
    <xf numFmtId="0" fontId="23" fillId="0" borderId="42" applyNumberFormat="0" applyFill="0" applyAlignment="0" applyProtection="0">
      <alignment vertical="center"/>
    </xf>
    <xf numFmtId="0" fontId="23" fillId="0" borderId="42" applyNumberFormat="0" applyFill="0" applyAlignment="0" applyProtection="0">
      <alignment vertical="center"/>
    </xf>
    <xf numFmtId="0" fontId="24" fillId="25" borderId="43" applyNumberFormat="0" applyAlignment="0" applyProtection="0">
      <alignment vertical="center"/>
    </xf>
    <xf numFmtId="0" fontId="24" fillId="25" borderId="43"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41" applyNumberFormat="0" applyAlignment="0" applyProtection="0">
      <alignment vertical="center"/>
    </xf>
    <xf numFmtId="0" fontId="26" fillId="9" borderId="41" applyNumberFormat="0" applyAlignment="0" applyProtection="0">
      <alignment vertical="center"/>
    </xf>
    <xf numFmtId="0" fontId="8" fillId="0" borderId="44">
      <alignment horizontal="left" vertical="center"/>
    </xf>
    <xf numFmtId="0" fontId="13" fillId="24" borderId="45" applyNumberFormat="0" applyFont="0" applyAlignment="0" applyProtection="0">
      <alignment vertical="center"/>
    </xf>
    <xf numFmtId="0" fontId="15" fillId="24" borderId="45" applyNumberFormat="0" applyFont="0" applyAlignment="0" applyProtection="0">
      <alignment vertical="center"/>
    </xf>
    <xf numFmtId="0" fontId="13" fillId="24" borderId="45" applyNumberFormat="0" applyFont="0" applyAlignment="0" applyProtection="0">
      <alignment vertical="center"/>
    </xf>
    <xf numFmtId="0" fontId="15" fillId="24" borderId="45" applyNumberFormat="0" applyFont="0" applyAlignment="0" applyProtection="0">
      <alignment vertical="center"/>
    </xf>
    <xf numFmtId="0" fontId="18" fillId="25" borderId="46" applyNumberFormat="0" applyAlignment="0" applyProtection="0">
      <alignment vertical="center"/>
    </xf>
    <xf numFmtId="0" fontId="18" fillId="25" borderId="46" applyNumberFormat="0" applyAlignment="0" applyProtection="0">
      <alignment vertical="center"/>
    </xf>
    <xf numFmtId="0" fontId="23" fillId="0" borderId="47" applyNumberFormat="0" applyFill="0" applyAlignment="0" applyProtection="0">
      <alignment vertical="center"/>
    </xf>
    <xf numFmtId="0" fontId="23" fillId="0" borderId="47" applyNumberFormat="0" applyFill="0" applyAlignment="0" applyProtection="0">
      <alignment vertical="center"/>
    </xf>
    <xf numFmtId="0" fontId="24" fillId="25" borderId="48" applyNumberFormat="0" applyAlignment="0" applyProtection="0">
      <alignment vertical="center"/>
    </xf>
    <xf numFmtId="0" fontId="24" fillId="25" borderId="48"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46" applyNumberFormat="0" applyAlignment="0" applyProtection="0">
      <alignment vertical="center"/>
    </xf>
    <xf numFmtId="0" fontId="26" fillId="9" borderId="46" applyNumberFormat="0" applyAlignment="0" applyProtection="0">
      <alignment vertical="center"/>
    </xf>
    <xf numFmtId="0" fontId="8" fillId="0" borderId="49">
      <alignment horizontal="left" vertical="center"/>
    </xf>
    <xf numFmtId="0" fontId="13" fillId="24" borderId="50" applyNumberFormat="0" applyFont="0" applyAlignment="0" applyProtection="0">
      <alignment vertical="center"/>
    </xf>
    <xf numFmtId="0" fontId="15" fillId="24" borderId="50" applyNumberFormat="0" applyFont="0" applyAlignment="0" applyProtection="0">
      <alignment vertical="center"/>
    </xf>
    <xf numFmtId="0" fontId="13" fillId="24" borderId="50" applyNumberFormat="0" applyFont="0" applyAlignment="0" applyProtection="0">
      <alignment vertical="center"/>
    </xf>
    <xf numFmtId="0" fontId="15" fillId="24" borderId="50" applyNumberFormat="0" applyFont="0" applyAlignment="0" applyProtection="0">
      <alignment vertical="center"/>
    </xf>
    <xf numFmtId="0" fontId="18" fillId="25" borderId="51" applyNumberFormat="0" applyAlignment="0" applyProtection="0">
      <alignment vertical="center"/>
    </xf>
    <xf numFmtId="0" fontId="18" fillId="25" borderId="51" applyNumberFormat="0" applyAlignment="0" applyProtection="0">
      <alignment vertical="center"/>
    </xf>
    <xf numFmtId="0" fontId="23" fillId="0" borderId="52" applyNumberFormat="0" applyFill="0" applyAlignment="0" applyProtection="0">
      <alignment vertical="center"/>
    </xf>
    <xf numFmtId="0" fontId="23" fillId="0" borderId="52" applyNumberFormat="0" applyFill="0" applyAlignment="0" applyProtection="0">
      <alignment vertical="center"/>
    </xf>
    <xf numFmtId="0" fontId="24" fillId="25" borderId="53" applyNumberFormat="0" applyAlignment="0" applyProtection="0">
      <alignment vertical="center"/>
    </xf>
    <xf numFmtId="0" fontId="24" fillId="25" borderId="53"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1" applyNumberFormat="0" applyAlignment="0" applyProtection="0">
      <alignment vertical="center"/>
    </xf>
    <xf numFmtId="0" fontId="26" fillId="9" borderId="51" applyNumberFormat="0" applyAlignment="0" applyProtection="0">
      <alignment vertical="center"/>
    </xf>
    <xf numFmtId="0" fontId="8" fillId="0" borderId="54">
      <alignment horizontal="lef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8" fillId="25" borderId="56" applyNumberFormat="0" applyAlignment="0" applyProtection="0">
      <alignment vertical="center"/>
    </xf>
    <xf numFmtId="0" fontId="18" fillId="25" borderId="56" applyNumberFormat="0" applyAlignment="0" applyProtection="0">
      <alignment vertical="center"/>
    </xf>
    <xf numFmtId="0" fontId="23" fillId="0" borderId="57" applyNumberFormat="0" applyFill="0" applyAlignment="0" applyProtection="0">
      <alignment vertical="center"/>
    </xf>
    <xf numFmtId="0" fontId="23" fillId="0" borderId="57" applyNumberFormat="0" applyFill="0" applyAlignment="0" applyProtection="0">
      <alignment vertical="center"/>
    </xf>
    <xf numFmtId="0" fontId="24" fillId="25" borderId="58" applyNumberFormat="0" applyAlignment="0" applyProtection="0">
      <alignment vertical="center"/>
    </xf>
    <xf numFmtId="0" fontId="24" fillId="25" borderId="58" applyNumberFormat="0" applyAlignment="0" applyProtection="0">
      <alignment vertical="center"/>
    </xf>
    <xf numFmtId="0" fontId="26" fillId="9" borderId="56" applyNumberFormat="0" applyAlignment="0" applyProtection="0">
      <alignment vertical="center"/>
    </xf>
    <xf numFmtId="0" fontId="26" fillId="9" borderId="56" applyNumberFormat="0" applyAlignment="0" applyProtection="0">
      <alignment vertical="center"/>
    </xf>
    <xf numFmtId="0" fontId="8" fillId="0" borderId="54">
      <alignment horizontal="lef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8" fillId="25" borderId="56" applyNumberFormat="0" applyAlignment="0" applyProtection="0">
      <alignment vertical="center"/>
    </xf>
    <xf numFmtId="0" fontId="18" fillId="25" borderId="56" applyNumberFormat="0" applyAlignment="0" applyProtection="0">
      <alignment vertical="center"/>
    </xf>
    <xf numFmtId="0" fontId="23" fillId="0" borderId="57" applyNumberFormat="0" applyFill="0" applyAlignment="0" applyProtection="0">
      <alignment vertical="center"/>
    </xf>
    <xf numFmtId="0" fontId="23" fillId="0" borderId="57" applyNumberFormat="0" applyFill="0" applyAlignment="0" applyProtection="0">
      <alignment vertical="center"/>
    </xf>
    <xf numFmtId="0" fontId="24" fillId="25" borderId="58" applyNumberFormat="0" applyAlignment="0" applyProtection="0">
      <alignment vertical="center"/>
    </xf>
    <xf numFmtId="0" fontId="24" fillId="25" borderId="58"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6" applyNumberFormat="0" applyAlignment="0" applyProtection="0">
      <alignment vertical="center"/>
    </xf>
    <xf numFmtId="0" fontId="26" fillId="9" borderId="56" applyNumberFormat="0" applyAlignment="0" applyProtection="0">
      <alignment vertical="center"/>
    </xf>
    <xf numFmtId="0" fontId="8" fillId="0" borderId="54">
      <alignment horizontal="lef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8" fillId="25" borderId="56" applyNumberFormat="0" applyAlignment="0" applyProtection="0">
      <alignment vertical="center"/>
    </xf>
    <xf numFmtId="0" fontId="18" fillId="25" borderId="56" applyNumberFormat="0" applyAlignment="0" applyProtection="0">
      <alignment vertical="center"/>
    </xf>
    <xf numFmtId="0" fontId="23" fillId="0" borderId="57" applyNumberFormat="0" applyFill="0" applyAlignment="0" applyProtection="0">
      <alignment vertical="center"/>
    </xf>
    <xf numFmtId="0" fontId="23" fillId="0" borderId="57" applyNumberFormat="0" applyFill="0" applyAlignment="0" applyProtection="0">
      <alignment vertical="center"/>
    </xf>
    <xf numFmtId="0" fontId="24" fillId="25" borderId="58" applyNumberFormat="0" applyAlignment="0" applyProtection="0">
      <alignment vertical="center"/>
    </xf>
    <xf numFmtId="0" fontId="24" fillId="25" borderId="58"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6" applyNumberFormat="0" applyAlignment="0" applyProtection="0">
      <alignment vertical="center"/>
    </xf>
    <xf numFmtId="0" fontId="26" fillId="9" borderId="56" applyNumberFormat="0" applyAlignment="0" applyProtection="0">
      <alignment vertical="center"/>
    </xf>
    <xf numFmtId="0" fontId="8" fillId="0" borderId="54">
      <alignment horizontal="lef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3" fillId="24" borderId="55" applyNumberFormat="0" applyFont="0" applyAlignment="0" applyProtection="0">
      <alignment vertical="center"/>
    </xf>
    <xf numFmtId="0" fontId="15" fillId="24" borderId="55" applyNumberFormat="0" applyFont="0" applyAlignment="0" applyProtection="0">
      <alignment vertical="center"/>
    </xf>
    <xf numFmtId="0" fontId="18" fillId="25" borderId="56" applyNumberFormat="0" applyAlignment="0" applyProtection="0">
      <alignment vertical="center"/>
    </xf>
    <xf numFmtId="0" fontId="18" fillId="25" borderId="56" applyNumberFormat="0" applyAlignment="0" applyProtection="0">
      <alignment vertical="center"/>
    </xf>
    <xf numFmtId="0" fontId="23" fillId="0" borderId="57" applyNumberFormat="0" applyFill="0" applyAlignment="0" applyProtection="0">
      <alignment vertical="center"/>
    </xf>
    <xf numFmtId="0" fontId="23" fillId="0" borderId="57" applyNumberFormat="0" applyFill="0" applyAlignment="0" applyProtection="0">
      <alignment vertical="center"/>
    </xf>
    <xf numFmtId="0" fontId="24" fillId="25" borderId="58" applyNumberFormat="0" applyAlignment="0" applyProtection="0">
      <alignment vertical="center"/>
    </xf>
    <xf numFmtId="0" fontId="24" fillId="25" borderId="58" applyNumberFormat="0" applyAlignment="0" applyProtection="0">
      <alignment vertical="center"/>
    </xf>
    <xf numFmtId="6" fontId="13" fillId="0" borderId="0" applyFont="0" applyFill="0" applyBorder="0" applyAlignment="0" applyProtection="0">
      <alignment vertical="center"/>
    </xf>
    <xf numFmtId="6" fontId="13" fillId="0" borderId="0" applyFont="0" applyFill="0" applyBorder="0" applyAlignment="0" applyProtection="0">
      <alignment vertical="center"/>
    </xf>
    <xf numFmtId="6" fontId="1" fillId="0" borderId="0" applyFont="0" applyFill="0" applyBorder="0" applyAlignment="0" applyProtection="0">
      <alignment vertical="center"/>
    </xf>
    <xf numFmtId="0" fontId="26" fillId="9" borderId="56" applyNumberFormat="0" applyAlignment="0" applyProtection="0">
      <alignment vertical="center"/>
    </xf>
    <xf numFmtId="0" fontId="26" fillId="9" borderId="56" applyNumberFormat="0" applyAlignment="0" applyProtection="0">
      <alignment vertical="center"/>
    </xf>
  </cellStyleXfs>
  <cellXfs count="89">
    <xf numFmtId="0" fontId="0" fillId="0" borderId="0" xfId="0">
      <alignment vertical="center"/>
    </xf>
    <xf numFmtId="0" fontId="2" fillId="0" borderId="0" xfId="0" applyFont="1">
      <alignment vertical="center"/>
    </xf>
    <xf numFmtId="176" fontId="0" fillId="0" borderId="0" xfId="0" applyNumberFormat="1">
      <alignment vertical="center"/>
    </xf>
    <xf numFmtId="9" fontId="2" fillId="0" borderId="2" xfId="0" applyNumberFormat="1" applyFont="1" applyFill="1" applyBorder="1" applyAlignment="1">
      <alignment vertical="center" shrinkToFit="1"/>
    </xf>
    <xf numFmtId="9" fontId="2" fillId="0" borderId="19" xfId="0" applyNumberFormat="1" applyFont="1" applyFill="1" applyBorder="1" applyAlignment="1">
      <alignment vertical="center" shrinkToFit="1"/>
    </xf>
    <xf numFmtId="0" fontId="2" fillId="0" borderId="0" xfId="0" applyFont="1" applyFill="1">
      <alignment vertical="center"/>
    </xf>
    <xf numFmtId="3" fontId="2" fillId="0" borderId="0" xfId="0" applyNumberFormat="1" applyFont="1" applyFill="1" applyAlignment="1">
      <alignment horizontal="right" vertical="center"/>
    </xf>
    <xf numFmtId="9" fontId="2" fillId="0" borderId="20" xfId="0" applyNumberFormat="1" applyFont="1" applyFill="1" applyBorder="1" applyAlignment="1">
      <alignment vertical="center" shrinkToFit="1"/>
    </xf>
    <xf numFmtId="9" fontId="2" fillId="0" borderId="21" xfId="0" applyNumberFormat="1" applyFont="1" applyFill="1" applyBorder="1" applyAlignment="1">
      <alignment vertical="center" shrinkToFit="1"/>
    </xf>
    <xf numFmtId="0" fontId="33" fillId="0" borderId="0" xfId="0" applyFont="1">
      <alignment vertical="center"/>
    </xf>
    <xf numFmtId="0" fontId="33" fillId="0" borderId="2" xfId="0" applyFont="1" applyBorder="1">
      <alignment vertical="center"/>
    </xf>
    <xf numFmtId="0" fontId="33" fillId="0" borderId="21" xfId="0" applyFont="1" applyBorder="1">
      <alignment vertical="center"/>
    </xf>
    <xf numFmtId="3" fontId="33" fillId="0" borderId="23" xfId="0" applyNumberFormat="1" applyFont="1" applyBorder="1">
      <alignment vertical="center"/>
    </xf>
    <xf numFmtId="3" fontId="33" fillId="0" borderId="2" xfId="0" applyNumberFormat="1" applyFont="1" applyBorder="1">
      <alignment vertical="center"/>
    </xf>
    <xf numFmtId="0" fontId="33" fillId="26" borderId="22" xfId="0" applyFont="1" applyFill="1" applyBorder="1">
      <alignment vertical="center"/>
    </xf>
    <xf numFmtId="3" fontId="33" fillId="26" borderId="22" xfId="0" applyNumberFormat="1" applyFont="1" applyFill="1" applyBorder="1">
      <alignment vertical="center"/>
    </xf>
    <xf numFmtId="0" fontId="33" fillId="28" borderId="22" xfId="0" applyFont="1" applyFill="1" applyBorder="1">
      <alignment vertical="center"/>
    </xf>
    <xf numFmtId="0" fontId="33" fillId="0" borderId="20" xfId="0" applyFont="1" applyBorder="1">
      <alignment vertical="center"/>
    </xf>
    <xf numFmtId="9" fontId="34" fillId="0" borderId="2" xfId="0" applyNumberFormat="1" applyFont="1" applyFill="1" applyBorder="1" applyAlignment="1">
      <alignment vertical="center" shrinkToFit="1"/>
    </xf>
    <xf numFmtId="9" fontId="34" fillId="0" borderId="19" xfId="0" applyNumberFormat="1" applyFont="1" applyFill="1" applyBorder="1" applyAlignment="1">
      <alignment vertical="center" shrinkToFit="1"/>
    </xf>
    <xf numFmtId="9" fontId="34" fillId="0" borderId="20" xfId="0" applyNumberFormat="1" applyFont="1" applyFill="1" applyBorder="1" applyAlignment="1">
      <alignment vertical="center" shrinkToFit="1"/>
    </xf>
    <xf numFmtId="9" fontId="34" fillId="0" borderId="21" xfId="0" applyNumberFormat="1" applyFont="1" applyFill="1" applyBorder="1" applyAlignment="1">
      <alignment vertical="center" shrinkToFit="1"/>
    </xf>
    <xf numFmtId="0" fontId="33" fillId="0" borderId="24" xfId="0" applyFont="1" applyBorder="1">
      <alignment vertical="center"/>
    </xf>
    <xf numFmtId="0" fontId="0" fillId="29" borderId="31" xfId="0" applyFill="1" applyBorder="1" applyAlignment="1">
      <alignment vertical="center" wrapText="1"/>
    </xf>
    <xf numFmtId="0" fontId="0" fillId="29" borderId="18" xfId="0" applyFill="1" applyBorder="1" applyAlignment="1">
      <alignment vertical="center" wrapText="1"/>
    </xf>
    <xf numFmtId="0" fontId="0" fillId="29" borderId="32" xfId="0" applyFill="1" applyBorder="1" applyAlignment="1">
      <alignment vertical="center" wrapText="1"/>
    </xf>
    <xf numFmtId="0" fontId="0" fillId="29" borderId="17" xfId="0" applyFill="1" applyBorder="1" applyAlignment="1">
      <alignment vertical="center" wrapText="1"/>
    </xf>
    <xf numFmtId="0" fontId="0" fillId="29" borderId="33" xfId="0" applyFill="1" applyBorder="1" applyAlignment="1">
      <alignment vertical="center" wrapText="1"/>
    </xf>
    <xf numFmtId="0" fontId="0" fillId="0" borderId="25" xfId="0" quotePrefix="1" applyBorder="1">
      <alignment vertical="center"/>
    </xf>
    <xf numFmtId="0" fontId="33" fillId="0" borderId="26" xfId="0" applyFont="1" applyBorder="1">
      <alignment vertical="center"/>
    </xf>
    <xf numFmtId="0" fontId="33" fillId="0" borderId="27" xfId="0" applyFont="1" applyBorder="1">
      <alignment vertical="center"/>
    </xf>
    <xf numFmtId="0" fontId="33" fillId="0" borderId="30" xfId="0" applyFont="1" applyBorder="1">
      <alignment vertical="center"/>
    </xf>
    <xf numFmtId="0" fontId="33" fillId="0" borderId="28" xfId="0" applyFont="1" applyBorder="1">
      <alignment vertical="center"/>
    </xf>
    <xf numFmtId="0" fontId="33" fillId="0" borderId="29" xfId="0" applyFont="1" applyBorder="1">
      <alignment vertical="center"/>
    </xf>
    <xf numFmtId="0" fontId="33" fillId="30" borderId="29" xfId="0" applyFont="1" applyFill="1" applyBorder="1">
      <alignment vertical="center"/>
    </xf>
    <xf numFmtId="0" fontId="33" fillId="30" borderId="27" xfId="0" applyFont="1" applyFill="1" applyBorder="1">
      <alignment vertical="center"/>
    </xf>
    <xf numFmtId="0" fontId="33" fillId="30" borderId="30" xfId="0" applyFont="1" applyFill="1" applyBorder="1">
      <alignment vertical="center"/>
    </xf>
    <xf numFmtId="0" fontId="33" fillId="30" borderId="26" xfId="0" applyFont="1" applyFill="1" applyBorder="1">
      <alignment vertical="center"/>
    </xf>
    <xf numFmtId="0" fontId="33" fillId="30" borderId="28" xfId="0" applyFont="1" applyFill="1" applyBorder="1">
      <alignment vertical="center"/>
    </xf>
    <xf numFmtId="3" fontId="33" fillId="0" borderId="19" xfId="0" applyNumberFormat="1" applyFont="1" applyBorder="1">
      <alignment vertical="center"/>
    </xf>
    <xf numFmtId="3" fontId="35" fillId="0" borderId="20" xfId="0" applyNumberFormat="1" applyFont="1" applyFill="1" applyBorder="1" applyAlignment="1">
      <alignment vertical="center"/>
    </xf>
    <xf numFmtId="0" fontId="33" fillId="27" borderId="34" xfId="0" applyFont="1" applyFill="1" applyBorder="1">
      <alignment vertical="center"/>
    </xf>
    <xf numFmtId="3" fontId="33" fillId="27" borderId="34" xfId="0" applyNumberFormat="1" applyFont="1" applyFill="1" applyBorder="1">
      <alignment vertical="center"/>
    </xf>
    <xf numFmtId="3" fontId="33" fillId="0" borderId="0" xfId="0" applyNumberFormat="1" applyFont="1">
      <alignment vertical="center"/>
    </xf>
    <xf numFmtId="3" fontId="2" fillId="0" borderId="35" xfId="0" applyNumberFormat="1" applyFont="1" applyFill="1" applyBorder="1" applyAlignment="1">
      <alignment horizontal="center" vertical="center"/>
    </xf>
    <xf numFmtId="3" fontId="2" fillId="0" borderId="36" xfId="0" applyNumberFormat="1" applyFont="1" applyFill="1" applyBorder="1" applyAlignment="1">
      <alignment horizontal="left" vertical="center" shrinkToFit="1"/>
    </xf>
    <xf numFmtId="9" fontId="2" fillId="0" borderId="36" xfId="0" applyNumberFormat="1" applyFont="1" applyFill="1" applyBorder="1" applyAlignment="1">
      <alignment vertical="center" shrinkToFit="1"/>
    </xf>
    <xf numFmtId="0" fontId="0" fillId="0" borderId="0" xfId="0" applyFill="1" applyAlignment="1">
      <alignment horizontal="center" vertical="center"/>
    </xf>
    <xf numFmtId="0" fontId="0" fillId="0" borderId="0" xfId="0" applyFill="1">
      <alignment vertical="center"/>
    </xf>
    <xf numFmtId="0" fontId="0" fillId="3" borderId="38" xfId="0" applyFill="1" applyBorder="1" applyAlignment="1">
      <alignment horizontal="center" vertical="center"/>
    </xf>
    <xf numFmtId="176" fontId="0" fillId="3" borderId="38" xfId="0" applyNumberFormat="1" applyFill="1" applyBorder="1" applyAlignment="1">
      <alignment horizontal="center" vertical="center"/>
    </xf>
    <xf numFmtId="0" fontId="0" fillId="0" borderId="38" xfId="0" applyBorder="1">
      <alignment vertical="center"/>
    </xf>
    <xf numFmtId="176" fontId="0" fillId="0" borderId="38" xfId="0" applyNumberFormat="1" applyFill="1" applyBorder="1">
      <alignment vertical="center"/>
    </xf>
    <xf numFmtId="3" fontId="4" fillId="0" borderId="0" xfId="0" applyNumberFormat="1" applyFont="1" applyBorder="1">
      <alignment vertical="center"/>
    </xf>
    <xf numFmtId="0" fontId="2" fillId="32" borderId="38" xfId="0" applyFont="1" applyFill="1" applyBorder="1" applyAlignment="1">
      <alignment horizontal="center" vertical="center"/>
    </xf>
    <xf numFmtId="180" fontId="2" fillId="0" borderId="38" xfId="0" applyNumberFormat="1" applyFont="1" applyBorder="1" applyAlignment="1">
      <alignment horizontal="center" vertical="center"/>
    </xf>
    <xf numFmtId="3" fontId="2" fillId="26" borderId="37" xfId="0" applyNumberFormat="1" applyFont="1" applyFill="1" applyBorder="1" applyAlignment="1">
      <alignment horizontal="center" vertical="center" wrapText="1"/>
    </xf>
    <xf numFmtId="0" fontId="0" fillId="0" borderId="0" xfId="0" applyAlignment="1">
      <alignment horizontal="left" vertical="center"/>
    </xf>
    <xf numFmtId="0" fontId="0" fillId="0" borderId="38" xfId="0" applyFill="1" applyBorder="1" applyAlignment="1">
      <alignment horizontal="left" vertical="center"/>
    </xf>
    <xf numFmtId="0" fontId="36" fillId="0" borderId="38" xfId="0" applyFont="1" applyFill="1" applyBorder="1" applyAlignment="1">
      <alignment horizontal="left" vertical="center"/>
    </xf>
    <xf numFmtId="0" fontId="0" fillId="0" borderId="38" xfId="0" applyBorder="1" applyAlignment="1">
      <alignment horizontal="left" vertical="center"/>
    </xf>
    <xf numFmtId="0" fontId="2" fillId="33" borderId="0" xfId="0" applyFont="1" applyFill="1">
      <alignment vertical="center"/>
    </xf>
    <xf numFmtId="3" fontId="2" fillId="0" borderId="0" xfId="0" applyNumberFormat="1" applyFont="1" applyFill="1" applyAlignment="1">
      <alignment horizontal="right" vertical="center"/>
    </xf>
    <xf numFmtId="3" fontId="2" fillId="31" borderId="37" xfId="0" applyNumberFormat="1" applyFont="1" applyFill="1" applyBorder="1" applyAlignment="1">
      <alignment horizontal="center" vertical="center" wrapText="1"/>
    </xf>
    <xf numFmtId="0" fontId="2" fillId="0" borderId="59" xfId="0" applyFont="1" applyBorder="1">
      <alignment vertical="center"/>
    </xf>
    <xf numFmtId="0" fontId="0" fillId="0" borderId="0" xfId="0">
      <alignment vertical="center"/>
    </xf>
    <xf numFmtId="0" fontId="2" fillId="0" borderId="38" xfId="0" applyFont="1" applyBorder="1">
      <alignment vertical="center"/>
    </xf>
    <xf numFmtId="180" fontId="2" fillId="3" borderId="36" xfId="0" applyNumberFormat="1" applyFont="1" applyFill="1" applyBorder="1" applyAlignment="1">
      <alignment horizontal="center" vertical="center" wrapText="1"/>
    </xf>
    <xf numFmtId="179" fontId="0" fillId="3" borderId="59" xfId="0" applyNumberFormat="1" applyFill="1" applyBorder="1" applyAlignment="1">
      <alignment horizontal="center" vertical="center"/>
    </xf>
    <xf numFmtId="179" fontId="0" fillId="0" borderId="59" xfId="0" applyNumberFormat="1" applyBorder="1">
      <alignment vertical="center"/>
    </xf>
    <xf numFmtId="179" fontId="0" fillId="0" borderId="59" xfId="0" applyNumberFormat="1" applyFill="1" applyBorder="1">
      <alignment vertical="center"/>
    </xf>
    <xf numFmtId="3" fontId="2" fillId="0" borderId="38" xfId="0" applyNumberFormat="1" applyFont="1" applyFill="1" applyBorder="1" applyAlignment="1">
      <alignment horizontal="right" vertical="center"/>
    </xf>
    <xf numFmtId="3" fontId="2" fillId="0" borderId="38" xfId="0" applyNumberFormat="1" applyFont="1" applyFill="1" applyBorder="1" applyAlignment="1">
      <alignment horizontal="right" vertical="center" shrinkToFit="1"/>
    </xf>
    <xf numFmtId="0" fontId="2" fillId="0" borderId="38" xfId="0" applyFont="1" applyBorder="1" applyAlignment="1">
      <alignment vertical="center" wrapText="1"/>
    </xf>
    <xf numFmtId="0" fontId="33" fillId="28" borderId="22" xfId="0" applyFont="1" applyFill="1" applyBorder="1" applyAlignment="1">
      <alignment vertical="center"/>
    </xf>
    <xf numFmtId="0" fontId="0" fillId="28" borderId="22" xfId="0" applyFill="1" applyBorder="1" applyAlignment="1">
      <alignment vertical="center"/>
    </xf>
    <xf numFmtId="0" fontId="33" fillId="28" borderId="24" xfId="0" applyFont="1" applyFill="1" applyBorder="1" applyAlignment="1">
      <alignment vertical="center"/>
    </xf>
    <xf numFmtId="0" fontId="0" fillId="0" borderId="16" xfId="0" applyBorder="1" applyAlignment="1">
      <alignment vertical="center"/>
    </xf>
    <xf numFmtId="0" fontId="33" fillId="28" borderId="22" xfId="0" applyFont="1" applyFill="1" applyBorder="1" applyAlignment="1">
      <alignment horizontal="center" vertical="center"/>
    </xf>
    <xf numFmtId="0" fontId="0" fillId="28" borderId="22" xfId="0" applyFill="1" applyBorder="1" applyAlignment="1">
      <alignment horizontal="center" vertical="center"/>
    </xf>
    <xf numFmtId="0" fontId="0" fillId="0" borderId="22" xfId="0" applyBorder="1" applyAlignment="1">
      <alignment vertical="center"/>
    </xf>
    <xf numFmtId="0" fontId="0" fillId="29" borderId="26" xfId="0" applyFill="1" applyBorder="1" applyAlignment="1">
      <alignment horizontal="center" vertical="center"/>
    </xf>
    <xf numFmtId="0" fontId="0" fillId="29" borderId="27" xfId="0" applyFill="1" applyBorder="1" applyAlignment="1">
      <alignment horizontal="center" vertical="center"/>
    </xf>
    <xf numFmtId="0" fontId="0" fillId="29" borderId="28" xfId="0" applyFill="1" applyBorder="1" applyAlignment="1">
      <alignment horizontal="center" vertical="center"/>
    </xf>
    <xf numFmtId="0" fontId="0" fillId="29" borderId="29" xfId="0" applyFill="1" applyBorder="1" applyAlignment="1">
      <alignment horizontal="center" vertical="center"/>
    </xf>
    <xf numFmtId="0" fontId="0" fillId="29" borderId="30" xfId="0" applyFill="1" applyBorder="1" applyAlignment="1">
      <alignment horizontal="center" vertical="center"/>
    </xf>
    <xf numFmtId="0" fontId="0" fillId="29" borderId="4" xfId="0" applyFill="1" applyBorder="1" applyAlignment="1">
      <alignment vertical="center"/>
    </xf>
    <xf numFmtId="0" fontId="0" fillId="29" borderId="3" xfId="0" applyFill="1" applyBorder="1" applyAlignment="1">
      <alignment vertical="center"/>
    </xf>
    <xf numFmtId="179" fontId="0" fillId="0" borderId="38" xfId="0" applyNumberFormat="1" applyBorder="1">
      <alignment vertical="center"/>
    </xf>
  </cellXfs>
  <cellStyles count="298">
    <cellStyle name="20% - アクセント 1 2" xfId="1"/>
    <cellStyle name="20% - アクセント 2 2" xfId="2"/>
    <cellStyle name="20% - アクセント 3 2" xfId="3"/>
    <cellStyle name="20% - アクセント 4 2" xfId="4"/>
    <cellStyle name="20% - アクセント 5 2" xfId="5"/>
    <cellStyle name="20% - アクセント 6 2" xfId="6"/>
    <cellStyle name="40% - アクセント 1 2" xfId="7"/>
    <cellStyle name="40% - アクセント 2 2" xfId="8"/>
    <cellStyle name="40% - アクセント 3 2" xfId="9"/>
    <cellStyle name="40% - アクセント 4 2" xfId="10"/>
    <cellStyle name="40% - アクセント 5 2" xfId="11"/>
    <cellStyle name="40% - アクセント 6 2" xfId="12"/>
    <cellStyle name="60% - アクセント 1 2" xfId="13"/>
    <cellStyle name="60% - アクセント 2 2" xfId="14"/>
    <cellStyle name="60% - アクセント 3 2" xfId="15"/>
    <cellStyle name="60% - アクセント 4 2" xfId="16"/>
    <cellStyle name="60% - アクセント 5 2" xfId="17"/>
    <cellStyle name="60% - アクセント 6 2" xfId="18"/>
    <cellStyle name="Calc Currency (0)" xfId="19"/>
    <cellStyle name="Header1" xfId="20"/>
    <cellStyle name="Header2" xfId="21"/>
    <cellStyle name="Header2 2" xfId="189"/>
    <cellStyle name="Header2 2 2" xfId="250"/>
    <cellStyle name="Header2 3" xfId="205"/>
    <cellStyle name="Header2 3 2" xfId="266"/>
    <cellStyle name="Header2 4" xfId="221"/>
    <cellStyle name="Header2 4 2" xfId="282"/>
    <cellStyle name="Header2 5" xfId="237"/>
    <cellStyle name="Normal_#18-Internet" xfId="22"/>
    <cellStyle name="アクセント 1 2" xfId="23"/>
    <cellStyle name="アクセント 2 2" xfId="24"/>
    <cellStyle name="アクセント 3 2" xfId="25"/>
    <cellStyle name="アクセント 4 2" xfId="26"/>
    <cellStyle name="アクセント 5 2" xfId="27"/>
    <cellStyle name="アクセント 6 2" xfId="28"/>
    <cellStyle name="タイトル 2" xfId="29"/>
    <cellStyle name="チェック セル 2" xfId="30"/>
    <cellStyle name="どちらでもない 2" xfId="31"/>
    <cellStyle name="パーセント 10" xfId="32"/>
    <cellStyle name="パーセント 10 2" xfId="33"/>
    <cellStyle name="パーセント 10 2 2" xfId="34"/>
    <cellStyle name="パーセント 10 3" xfId="35"/>
    <cellStyle name="パーセント 11" xfId="36"/>
    <cellStyle name="パーセント 11 2" xfId="37"/>
    <cellStyle name="パーセント 11 2 2" xfId="38"/>
    <cellStyle name="パーセント 11 3" xfId="39"/>
    <cellStyle name="パーセント 2" xfId="40"/>
    <cellStyle name="パーセント 2 2" xfId="41"/>
    <cellStyle name="パーセント 2 2 2" xfId="42"/>
    <cellStyle name="パーセント 2 3" xfId="43"/>
    <cellStyle name="パーセント 2 4" xfId="44"/>
    <cellStyle name="パーセント 3" xfId="45"/>
    <cellStyle name="パーセント 3 2" xfId="46"/>
    <cellStyle name="パーセント 3 2 2" xfId="47"/>
    <cellStyle name="パーセント 3 3" xfId="48"/>
    <cellStyle name="パーセント 4" xfId="49"/>
    <cellStyle name="パーセント 4 2" xfId="50"/>
    <cellStyle name="パーセント 4 2 2" xfId="51"/>
    <cellStyle name="パーセント 4 3" xfId="52"/>
    <cellStyle name="パーセント 5" xfId="53"/>
    <cellStyle name="パーセント 5 2" xfId="54"/>
    <cellStyle name="パーセント 5 2 2" xfId="55"/>
    <cellStyle name="パーセント 5 3" xfId="56"/>
    <cellStyle name="パーセント 6" xfId="57"/>
    <cellStyle name="パーセント 6 2" xfId="58"/>
    <cellStyle name="パーセント 6 2 2" xfId="59"/>
    <cellStyle name="パーセント 6 3" xfId="60"/>
    <cellStyle name="パーセント 7" xfId="61"/>
    <cellStyle name="パーセント 7 2" xfId="62"/>
    <cellStyle name="パーセント 7 2 2" xfId="63"/>
    <cellStyle name="パーセント 7 3" xfId="64"/>
    <cellStyle name="パーセント 8" xfId="65"/>
    <cellStyle name="パーセント 8 2" xfId="66"/>
    <cellStyle name="パーセント 8 2 2" xfId="67"/>
    <cellStyle name="パーセント 8 3" xfId="68"/>
    <cellStyle name="パーセント 9" xfId="69"/>
    <cellStyle name="パーセント 9 2" xfId="70"/>
    <cellStyle name="パーセント 9 2 2" xfId="71"/>
    <cellStyle name="パーセント 9 3" xfId="72"/>
    <cellStyle name="ハイパーリンク 2" xfId="73"/>
    <cellStyle name="メモ 2" xfId="74"/>
    <cellStyle name="メモ 2 2" xfId="75"/>
    <cellStyle name="メモ 2 2 2" xfId="191"/>
    <cellStyle name="メモ 2 2 2 2" xfId="252"/>
    <cellStyle name="メモ 2 2 3" xfId="207"/>
    <cellStyle name="メモ 2 2 3 2" xfId="268"/>
    <cellStyle name="メモ 2 2 4" xfId="223"/>
    <cellStyle name="メモ 2 2 4 2" xfId="284"/>
    <cellStyle name="メモ 2 2 5" xfId="239"/>
    <cellStyle name="メモ 2 3" xfId="76"/>
    <cellStyle name="メモ 2 3 2" xfId="192"/>
    <cellStyle name="メモ 2 3 2 2" xfId="253"/>
    <cellStyle name="メモ 2 3 3" xfId="208"/>
    <cellStyle name="メモ 2 3 3 2" xfId="269"/>
    <cellStyle name="メモ 2 3 4" xfId="224"/>
    <cellStyle name="メモ 2 3 4 2" xfId="285"/>
    <cellStyle name="メモ 2 3 5" xfId="240"/>
    <cellStyle name="メモ 2 4" xfId="190"/>
    <cellStyle name="メモ 2 4 2" xfId="251"/>
    <cellStyle name="メモ 2 5" xfId="206"/>
    <cellStyle name="メモ 2 5 2" xfId="267"/>
    <cellStyle name="メモ 2 6" xfId="222"/>
    <cellStyle name="メモ 2 6 2" xfId="283"/>
    <cellStyle name="メモ 2 7" xfId="238"/>
    <cellStyle name="メモ 3" xfId="77"/>
    <cellStyle name="メモ 3 2" xfId="193"/>
    <cellStyle name="メモ 3 2 2" xfId="254"/>
    <cellStyle name="メモ 3 3" xfId="209"/>
    <cellStyle name="メモ 3 3 2" xfId="270"/>
    <cellStyle name="メモ 3 4" xfId="225"/>
    <cellStyle name="メモ 3 4 2" xfId="286"/>
    <cellStyle name="メモ 3 5" xfId="241"/>
    <cellStyle name="メモ 4" xfId="78"/>
    <cellStyle name="メモ 4 2" xfId="79"/>
    <cellStyle name="リンク セル 2" xfId="80"/>
    <cellStyle name="悪い 2" xfId="81"/>
    <cellStyle name="計算 2" xfId="82"/>
    <cellStyle name="計算 2 2" xfId="83"/>
    <cellStyle name="計算 2 2 2" xfId="195"/>
    <cellStyle name="計算 2 2 2 2" xfId="256"/>
    <cellStyle name="計算 2 2 3" xfId="211"/>
    <cellStyle name="計算 2 2 3 2" xfId="272"/>
    <cellStyle name="計算 2 2 4" xfId="227"/>
    <cellStyle name="計算 2 2 4 2" xfId="288"/>
    <cellStyle name="計算 2 2 5" xfId="243"/>
    <cellStyle name="計算 2 3" xfId="194"/>
    <cellStyle name="計算 2 3 2" xfId="255"/>
    <cellStyle name="計算 2 4" xfId="210"/>
    <cellStyle name="計算 2 4 2" xfId="271"/>
    <cellStyle name="計算 2 5" xfId="226"/>
    <cellStyle name="計算 2 5 2" xfId="287"/>
    <cellStyle name="計算 2 6" xfId="242"/>
    <cellStyle name="警告文 2" xfId="84"/>
    <cellStyle name="桁区切り 2" xfId="85"/>
    <cellStyle name="桁区切り 2 2" xfId="86"/>
    <cellStyle name="桁区切り 2 2 2" xfId="87"/>
    <cellStyle name="桁区切り 2 2 2 2" xfId="88"/>
    <cellStyle name="桁区切り 2 2 3" xfId="89"/>
    <cellStyle name="桁区切り 3" xfId="90"/>
    <cellStyle name="桁区切り 4" xfId="91"/>
    <cellStyle name="桁区切り 4 2" xfId="92"/>
    <cellStyle name="桁区切り 4 2 2" xfId="93"/>
    <cellStyle name="桁区切り 4 2 2 2" xfId="94"/>
    <cellStyle name="桁区切り 4 2 3" xfId="95"/>
    <cellStyle name="桁区切り 5" xfId="96"/>
    <cellStyle name="桁区切り 6" xfId="97"/>
    <cellStyle name="見出し 1 2" xfId="98"/>
    <cellStyle name="見出し 2 2" xfId="99"/>
    <cellStyle name="見出し 3 2" xfId="100"/>
    <cellStyle name="見出し 4 2" xfId="101"/>
    <cellStyle name="集計 2" xfId="102"/>
    <cellStyle name="集計 2 2" xfId="103"/>
    <cellStyle name="集計 2 2 2" xfId="197"/>
    <cellStyle name="集計 2 2 2 2" xfId="258"/>
    <cellStyle name="集計 2 2 3" xfId="213"/>
    <cellStyle name="集計 2 2 3 2" xfId="274"/>
    <cellStyle name="集計 2 2 4" xfId="229"/>
    <cellStyle name="集計 2 2 4 2" xfId="290"/>
    <cellStyle name="集計 2 2 5" xfId="245"/>
    <cellStyle name="集計 2 3" xfId="196"/>
    <cellStyle name="集計 2 3 2" xfId="257"/>
    <cellStyle name="集計 2 4" xfId="212"/>
    <cellStyle name="集計 2 4 2" xfId="273"/>
    <cellStyle name="集計 2 5" xfId="228"/>
    <cellStyle name="集計 2 5 2" xfId="289"/>
    <cellStyle name="集計 2 6" xfId="244"/>
    <cellStyle name="出力 2" xfId="104"/>
    <cellStyle name="出力 2 2" xfId="105"/>
    <cellStyle name="出力 2 2 2" xfId="199"/>
    <cellStyle name="出力 2 2 2 2" xfId="260"/>
    <cellStyle name="出力 2 2 3" xfId="215"/>
    <cellStyle name="出力 2 2 3 2" xfId="276"/>
    <cellStyle name="出力 2 2 4" xfId="231"/>
    <cellStyle name="出力 2 2 4 2" xfId="292"/>
    <cellStyle name="出力 2 2 5" xfId="247"/>
    <cellStyle name="出力 2 3" xfId="198"/>
    <cellStyle name="出力 2 3 2" xfId="259"/>
    <cellStyle name="出力 2 4" xfId="214"/>
    <cellStyle name="出力 2 4 2" xfId="275"/>
    <cellStyle name="出力 2 5" xfId="230"/>
    <cellStyle name="出力 2 5 2" xfId="291"/>
    <cellStyle name="出力 2 6" xfId="246"/>
    <cellStyle name="説明文 2" xfId="106"/>
    <cellStyle name="通貨 2" xfId="107"/>
    <cellStyle name="通貨 2 2" xfId="200"/>
    <cellStyle name="通貨 2 2 2" xfId="261"/>
    <cellStyle name="通貨 2 3" xfId="216"/>
    <cellStyle name="通貨 2 3 2" xfId="277"/>
    <cellStyle name="通貨 2 4" xfId="232"/>
    <cellStyle name="通貨 2 4 2" xfId="293"/>
    <cellStyle name="通貨 3" xfId="108"/>
    <cellStyle name="通貨 3 2" xfId="201"/>
    <cellStyle name="通貨 3 2 2" xfId="262"/>
    <cellStyle name="通貨 3 3" xfId="217"/>
    <cellStyle name="通貨 3 3 2" xfId="278"/>
    <cellStyle name="通貨 3 4" xfId="233"/>
    <cellStyle name="通貨 3 4 2" xfId="294"/>
    <cellStyle name="通貨 4" xfId="109"/>
    <cellStyle name="通貨 4 2" xfId="202"/>
    <cellStyle name="通貨 4 2 2" xfId="263"/>
    <cellStyle name="通貨 4 3" xfId="218"/>
    <cellStyle name="通貨 4 3 2" xfId="279"/>
    <cellStyle name="通貨 4 4" xfId="234"/>
    <cellStyle name="通貨 4 4 2" xfId="295"/>
    <cellStyle name="入力 2" xfId="110"/>
    <cellStyle name="入力 2 2" xfId="111"/>
    <cellStyle name="入力 2 2 2" xfId="204"/>
    <cellStyle name="入力 2 2 2 2" xfId="265"/>
    <cellStyle name="入力 2 2 3" xfId="220"/>
    <cellStyle name="入力 2 2 3 2" xfId="281"/>
    <cellStyle name="入力 2 2 4" xfId="236"/>
    <cellStyle name="入力 2 2 4 2" xfId="297"/>
    <cellStyle name="入力 2 2 5" xfId="249"/>
    <cellStyle name="入力 2 3" xfId="203"/>
    <cellStyle name="入力 2 3 2" xfId="264"/>
    <cellStyle name="入力 2 4" xfId="219"/>
    <cellStyle name="入力 2 4 2" xfId="280"/>
    <cellStyle name="入力 2 5" xfId="235"/>
    <cellStyle name="入力 2 5 2" xfId="296"/>
    <cellStyle name="入力 2 6" xfId="248"/>
    <cellStyle name="標準" xfId="0" builtinId="0"/>
    <cellStyle name="標準 10" xfId="112"/>
    <cellStyle name="標準 10 2" xfId="113"/>
    <cellStyle name="標準 10 2 2" xfId="114"/>
    <cellStyle name="標準 10 3" xfId="115"/>
    <cellStyle name="標準 11" xfId="116"/>
    <cellStyle name="標準 11 2" xfId="117"/>
    <cellStyle name="標準 11 2 2" xfId="118"/>
    <cellStyle name="標準 11 3" xfId="119"/>
    <cellStyle name="標準 12" xfId="120"/>
    <cellStyle name="標準 12 2" xfId="121"/>
    <cellStyle name="標準 12 2 2" xfId="122"/>
    <cellStyle name="標準 12 3" xfId="123"/>
    <cellStyle name="標準 13" xfId="124"/>
    <cellStyle name="標準 13 2" xfId="125"/>
    <cellStyle name="標準 13 2 2" xfId="126"/>
    <cellStyle name="標準 13 3" xfId="127"/>
    <cellStyle name="標準 14" xfId="128"/>
    <cellStyle name="標準 14 2" xfId="129"/>
    <cellStyle name="標準 14 3" xfId="130"/>
    <cellStyle name="標準 14 3 2" xfId="131"/>
    <cellStyle name="標準 14 4" xfId="132"/>
    <cellStyle name="標準 14 4 2" xfId="133"/>
    <cellStyle name="標準 14 4 2 2" xfId="134"/>
    <cellStyle name="標準 14 4 3" xfId="135"/>
    <cellStyle name="標準 14 5" xfId="136"/>
    <cellStyle name="標準 15" xfId="137"/>
    <cellStyle name="標準 15 2" xfId="138"/>
    <cellStyle name="標準 15 2 2" xfId="139"/>
    <cellStyle name="標準 15 3" xfId="140"/>
    <cellStyle name="標準 16" xfId="141"/>
    <cellStyle name="標準 16 2" xfId="142"/>
    <cellStyle name="標準 16 2 2" xfId="143"/>
    <cellStyle name="標準 16 3" xfId="144"/>
    <cellStyle name="標準 17" xfId="145"/>
    <cellStyle name="標準 18" xfId="146"/>
    <cellStyle name="標準 18 2" xfId="147"/>
    <cellStyle name="標準 19" xfId="148"/>
    <cellStyle name="標準 2" xfId="149"/>
    <cellStyle name="標準 2 2" xfId="150"/>
    <cellStyle name="標準 2 2 2" xfId="151"/>
    <cellStyle name="標準 2 2 3" xfId="152"/>
    <cellStyle name="標準 2 2 4" xfId="153"/>
    <cellStyle name="標準 2 3" xfId="154"/>
    <cellStyle name="標準 20" xfId="155"/>
    <cellStyle name="標準 21" xfId="156"/>
    <cellStyle name="標準 3" xfId="157"/>
    <cellStyle name="標準 3 2" xfId="158"/>
    <cellStyle name="標準 3 3" xfId="159"/>
    <cellStyle name="標準 3 3 2" xfId="160"/>
    <cellStyle name="標準 3 3 2 2" xfId="161"/>
    <cellStyle name="標準 3 3 3" xfId="162"/>
    <cellStyle name="標準 3 4" xfId="163"/>
    <cellStyle name="標準 4" xfId="164"/>
    <cellStyle name="標準 5" xfId="165"/>
    <cellStyle name="標準 5 2" xfId="166"/>
    <cellStyle name="標準 6" xfId="167"/>
    <cellStyle name="標準 6 2" xfId="168"/>
    <cellStyle name="標準 6 2 2" xfId="169"/>
    <cellStyle name="標準 6 2 2 2" xfId="170"/>
    <cellStyle name="標準 6 2 3" xfId="171"/>
    <cellStyle name="標準 7" xfId="172"/>
    <cellStyle name="標準 7 2" xfId="173"/>
    <cellStyle name="標準 7 2 2" xfId="174"/>
    <cellStyle name="標準 7 3" xfId="175"/>
    <cellStyle name="標準 7 4" xfId="176"/>
    <cellStyle name="標準 8" xfId="177"/>
    <cellStyle name="標準 8 2" xfId="178"/>
    <cellStyle name="標準 8 2 2" xfId="179"/>
    <cellStyle name="標準 8 2 2 2" xfId="180"/>
    <cellStyle name="標準 8 2 3" xfId="181"/>
    <cellStyle name="標準 9" xfId="182"/>
    <cellStyle name="標準 9 2" xfId="183"/>
    <cellStyle name="標準 9 2 2" xfId="184"/>
    <cellStyle name="標準 9 2 2 2" xfId="185"/>
    <cellStyle name="標準 9 2 3" xfId="186"/>
    <cellStyle name="標準 9 3" xfId="187"/>
    <cellStyle name="良い 2" xfId="188"/>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2</xdr:row>
          <xdr:rowOff>57150</xdr:rowOff>
        </xdr:from>
        <xdr:to>
          <xdr:col>3</xdr:col>
          <xdr:colOff>1238250</xdr:colOff>
          <xdr:row>4</xdr:row>
          <xdr:rowOff>0</xdr:rowOff>
        </xdr:to>
        <xdr:sp macro="" textlink="">
          <xdr:nvSpPr>
            <xdr:cNvPr id="4155" name="Button 59" hidden="1">
              <a:extLst>
                <a:ext uri="{63B3BB69-23CF-44E3-9099-C40C66FF867C}">
                  <a14:compatExt spid="_x0000_s41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実行</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1552575</xdr:colOff>
          <xdr:row>2</xdr:row>
          <xdr:rowOff>47625</xdr:rowOff>
        </xdr:from>
        <xdr:to>
          <xdr:col>3</xdr:col>
          <xdr:colOff>2647950</xdr:colOff>
          <xdr:row>3</xdr:row>
          <xdr:rowOff>200025</xdr:rowOff>
        </xdr:to>
        <xdr:sp macro="" textlink="">
          <xdr:nvSpPr>
            <xdr:cNvPr id="4156" name="Button 60" hidden="1">
              <a:extLst>
                <a:ext uri="{63B3BB69-23CF-44E3-9099-C40C66FF867C}">
                  <a14:compatExt spid="_x0000_s4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来期に移行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AEX11808"/>
  <sheetViews>
    <sheetView zoomScaleNormal="100" zoomScaleSheetLayoutView="100" workbookViewId="0">
      <pane xSplit="4" ySplit="6" topLeftCell="E7" activePane="bottomRight" state="frozen"/>
      <selection pane="topRight" activeCell="G1" sqref="G1"/>
      <selection pane="bottomLeft" activeCell="A6" sqref="A6"/>
      <selection pane="bottomRight" activeCell="N9" sqref="N9"/>
    </sheetView>
  </sheetViews>
  <sheetFormatPr defaultColWidth="9" defaultRowHeight="13.5"/>
  <cols>
    <col min="1" max="1" width="4.5" style="1" customWidth="1"/>
    <col min="2" max="2" width="5.5" style="1" customWidth="1"/>
    <col min="3" max="3" width="13.625" style="1" bestFit="1" customWidth="1"/>
    <col min="4" max="4" width="34.875" style="1" customWidth="1"/>
    <col min="5" max="5" width="11.125" style="62" customWidth="1"/>
    <col min="6" max="6" width="13.75" style="6" bestFit="1" customWidth="1"/>
    <col min="7" max="8" width="12" style="65" customWidth="1"/>
    <col min="9" max="10" width="2.625" style="1" customWidth="1"/>
    <col min="11" max="11" width="9.125" style="1" customWidth="1"/>
    <col min="12" max="16" width="2.625" style="1" customWidth="1"/>
    <col min="17" max="17" width="9.125" style="1" customWidth="1"/>
    <col min="18" max="22" width="2.625" style="1" customWidth="1"/>
    <col min="23" max="23" width="9.125" style="1" customWidth="1"/>
    <col min="24" max="28" width="2.625" style="1" customWidth="1"/>
    <col min="29" max="29" width="9.125" style="1" customWidth="1"/>
    <col min="30" max="34" width="2.625" style="1" customWidth="1"/>
    <col min="35" max="35" width="9.125" style="1" customWidth="1"/>
    <col min="36" max="40" width="2.625" style="1" customWidth="1"/>
    <col min="41" max="41" width="9.125" style="1" customWidth="1"/>
    <col min="42" max="46" width="2.625" style="1" customWidth="1"/>
    <col min="47" max="47" width="9.125" style="1" customWidth="1"/>
    <col min="48" max="52" width="2.625" style="1" customWidth="1"/>
    <col min="53" max="53" width="9.125" style="1" customWidth="1"/>
    <col min="54" max="58" width="2.625" style="1" customWidth="1"/>
    <col min="59" max="59" width="9.125" style="1" customWidth="1"/>
    <col min="60" max="64" width="2.625" style="1" customWidth="1"/>
    <col min="65" max="65" width="9.125" style="1" customWidth="1"/>
    <col min="66" max="70" width="2.625" style="1" customWidth="1"/>
    <col min="71" max="71" width="9.125" style="1" customWidth="1"/>
    <col min="72" max="76" width="2.625" style="1" customWidth="1"/>
    <col min="77" max="77" width="9.125" style="1" customWidth="1"/>
    <col min="78" max="82" width="2.625" style="1" customWidth="1"/>
    <col min="83" max="83" width="9.125" style="1" customWidth="1"/>
    <col min="84" max="88" width="2.625" style="1" customWidth="1"/>
    <col min="89" max="89" width="9.125" style="1" customWidth="1"/>
    <col min="90" max="94" width="2.625" style="1" customWidth="1"/>
    <col min="95" max="95" width="9.125" style="1" customWidth="1"/>
    <col min="96" max="100" width="2.625" style="1" customWidth="1"/>
    <col min="101" max="101" width="9.125" style="1" customWidth="1"/>
    <col min="102" max="106" width="2.625" style="1" customWidth="1"/>
    <col min="107" max="107" width="9.125" style="1" customWidth="1"/>
    <col min="108" max="112" width="2.625" style="1" customWidth="1"/>
    <col min="113" max="113" width="9.125" style="1" customWidth="1"/>
    <col min="114" max="118" width="2.625" style="1" customWidth="1"/>
    <col min="119" max="119" width="9.125" style="1" customWidth="1"/>
    <col min="120" max="124" width="2.625" style="1" customWidth="1"/>
    <col min="125" max="125" width="9.125" style="1" customWidth="1"/>
    <col min="126" max="130" width="2.625" style="1" customWidth="1"/>
    <col min="131" max="131" width="9.125" style="1" customWidth="1"/>
    <col min="132" max="136" width="2.625" style="1" customWidth="1"/>
    <col min="137" max="137" width="9.125" style="1" customWidth="1"/>
    <col min="138" max="142" width="2.625" style="1" customWidth="1"/>
    <col min="143" max="143" width="9.125" style="1" customWidth="1"/>
    <col min="144" max="148" width="2.625" style="1" customWidth="1"/>
    <col min="149" max="149" width="9.125" style="1" customWidth="1"/>
    <col min="150" max="154" width="2.625" style="1" customWidth="1"/>
    <col min="155" max="155" width="9.125" style="1" customWidth="1"/>
    <col min="156" max="160" width="2.625" style="1" customWidth="1"/>
    <col min="161" max="161" width="9.125" style="1" customWidth="1"/>
    <col min="162" max="166" width="2.625" style="1" customWidth="1"/>
    <col min="167" max="167" width="9.125" style="1" customWidth="1"/>
    <col min="168" max="172" width="2.625" style="1" customWidth="1"/>
    <col min="173" max="173" width="9.125" style="1" customWidth="1"/>
    <col min="174" max="178" width="2.625" style="1" customWidth="1"/>
    <col min="179" max="179" width="9.125" style="1" customWidth="1"/>
    <col min="180" max="184" width="2.625" style="1" customWidth="1"/>
    <col min="185" max="185" width="9.125" style="1" customWidth="1"/>
    <col min="186" max="190" width="2.625" style="1" customWidth="1"/>
    <col min="191" max="191" width="9.125" style="1" customWidth="1"/>
    <col min="192" max="196" width="2.625" style="1" customWidth="1"/>
    <col min="197" max="197" width="9.125" style="1" customWidth="1"/>
    <col min="198" max="202" width="2.625" style="1" customWidth="1"/>
    <col min="203" max="203" width="9.125" style="1" customWidth="1"/>
    <col min="204" max="208" width="2.625" style="1" customWidth="1"/>
    <col min="209" max="209" width="9.125" style="1" customWidth="1"/>
    <col min="210" max="214" width="2.625" style="1" customWidth="1"/>
    <col min="215" max="215" width="9.125" style="1" customWidth="1"/>
    <col min="216" max="220" width="2.625" style="1" customWidth="1"/>
    <col min="221" max="221" width="9.125" style="1" customWidth="1"/>
    <col min="222" max="226" width="2.625" style="1" customWidth="1"/>
    <col min="227" max="227" width="9.125" style="1" customWidth="1"/>
    <col min="228" max="232" width="2.625" style="1" customWidth="1"/>
    <col min="233" max="233" width="9.125" style="1" customWidth="1"/>
    <col min="234" max="238" width="2.625" style="1" customWidth="1"/>
    <col min="239" max="239" width="9.125" style="1" customWidth="1"/>
    <col min="240" max="244" width="2.625" style="1" customWidth="1"/>
    <col min="245" max="245" width="9.125" style="1" customWidth="1"/>
    <col min="246" max="250" width="2.625" style="1" customWidth="1"/>
    <col min="251" max="251" width="9.125" style="1" customWidth="1"/>
    <col min="252" max="256" width="2.625" style="1" customWidth="1"/>
    <col min="257" max="257" width="9.125" style="1" customWidth="1"/>
    <col min="258" max="262" width="2.625" style="1" customWidth="1"/>
    <col min="263" max="263" width="9.125" style="1" customWidth="1"/>
    <col min="264" max="268" width="2.625" style="1" customWidth="1"/>
    <col min="269" max="269" width="9.125" style="1" customWidth="1"/>
    <col min="270" max="274" width="2.625" style="1" customWidth="1"/>
    <col min="275" max="275" width="9.125" style="1" customWidth="1"/>
    <col min="276" max="280" width="2.625" style="1" customWidth="1"/>
    <col min="281" max="281" width="9.125" style="1" customWidth="1"/>
    <col min="282" max="286" width="2.625" style="1" customWidth="1"/>
    <col min="287" max="287" width="9.125" style="1" customWidth="1"/>
    <col min="288" max="292" width="2.625" style="1" customWidth="1"/>
    <col min="293" max="293" width="9.125" style="1" customWidth="1"/>
    <col min="294" max="298" width="2.625" style="1" customWidth="1"/>
    <col min="299" max="299" width="9.125" style="1" customWidth="1"/>
    <col min="300" max="304" width="2.625" style="1" customWidth="1"/>
    <col min="305" max="305" width="9.125" style="1" customWidth="1"/>
    <col min="306" max="310" width="2.625" style="1" customWidth="1"/>
    <col min="311" max="311" width="9.125" style="1" customWidth="1"/>
    <col min="312" max="316" width="2.625" style="1" customWidth="1"/>
    <col min="317" max="317" width="9.125" style="1" customWidth="1"/>
    <col min="318" max="322" width="2.625" style="1" customWidth="1"/>
    <col min="323" max="323" width="9.125" style="1" customWidth="1"/>
    <col min="324" max="328" width="2.625" style="1" customWidth="1"/>
    <col min="329" max="329" width="9.125" style="1" customWidth="1"/>
    <col min="330" max="334" width="2.625" style="1" customWidth="1"/>
    <col min="335" max="335" width="9.125" style="1" customWidth="1"/>
    <col min="336" max="340" width="2.625" style="1" customWidth="1"/>
    <col min="341" max="341" width="9.125" style="1" customWidth="1"/>
    <col min="342" max="346" width="2.625" style="1" customWidth="1"/>
    <col min="347" max="347" width="9.125" style="1" customWidth="1"/>
    <col min="348" max="352" width="2.625" style="1" customWidth="1"/>
    <col min="353" max="353" width="9.125" style="1" customWidth="1"/>
    <col min="354" max="358" width="2.625" style="1" customWidth="1"/>
    <col min="359" max="359" width="9.125" style="1" customWidth="1"/>
    <col min="360" max="364" width="2.625" style="1" customWidth="1"/>
    <col min="365" max="365" width="9.125" style="1" customWidth="1"/>
    <col min="366" max="370" width="2.625" style="1" customWidth="1"/>
    <col min="371" max="371" width="9.125" style="1" customWidth="1"/>
    <col min="372" max="376" width="2.625" style="1" customWidth="1"/>
    <col min="377" max="377" width="9.125" style="1" customWidth="1"/>
    <col min="378" max="382" width="2.625" style="1" customWidth="1"/>
    <col min="383" max="383" width="9.125" style="1" customWidth="1"/>
    <col min="384" max="388" width="2.625" style="1" customWidth="1"/>
    <col min="389" max="389" width="9.125" style="1" customWidth="1"/>
    <col min="390" max="394" width="2.625" style="1" customWidth="1"/>
    <col min="395" max="395" width="9.125" style="1" customWidth="1"/>
    <col min="396" max="400" width="2.625" style="1" customWidth="1"/>
    <col min="401" max="401" width="9.125" style="1" customWidth="1"/>
    <col min="402" max="406" width="2.625" style="1" customWidth="1"/>
    <col min="407" max="407" width="9.125" style="1" customWidth="1"/>
    <col min="408" max="412" width="2.625" style="1" customWidth="1"/>
    <col min="413" max="413" width="9.125" style="1" customWidth="1"/>
    <col min="414" max="418" width="2.625" style="1" customWidth="1"/>
    <col min="419" max="419" width="9.125" style="1" customWidth="1"/>
    <col min="420" max="424" width="2.625" style="1" customWidth="1"/>
    <col min="425" max="425" width="9.125" style="1" customWidth="1"/>
    <col min="426" max="430" width="2.625" style="1" customWidth="1"/>
    <col min="431" max="431" width="9.125" style="1" customWidth="1"/>
    <col min="432" max="436" width="2.625" style="1" customWidth="1"/>
    <col min="437" max="437" width="9.125" style="1" customWidth="1"/>
    <col min="438" max="442" width="2.625" style="1" customWidth="1"/>
    <col min="443" max="443" width="9.125" style="1" customWidth="1"/>
    <col min="444" max="448" width="2.625" style="1" customWidth="1"/>
    <col min="449" max="449" width="9.125" style="1" customWidth="1"/>
    <col min="450" max="454" width="2.625" style="1" customWidth="1"/>
    <col min="455" max="455" width="9.125" style="1" customWidth="1"/>
    <col min="456" max="460" width="2.625" style="1" customWidth="1"/>
    <col min="461" max="461" width="9.125" style="1" customWidth="1"/>
    <col min="462" max="466" width="2.625" style="1" customWidth="1"/>
    <col min="467" max="467" width="9.125" style="1" customWidth="1"/>
    <col min="468" max="472" width="2.625" style="1" customWidth="1"/>
    <col min="473" max="473" width="9.125" style="1" customWidth="1"/>
    <col min="474" max="478" width="2.625" style="1" customWidth="1"/>
    <col min="479" max="479" width="9.125" style="1" customWidth="1"/>
    <col min="480" max="484" width="2.625" style="1" customWidth="1"/>
    <col min="485" max="485" width="9.125" style="1" customWidth="1"/>
    <col min="486" max="490" width="2.625" style="1" customWidth="1"/>
    <col min="491" max="491" width="9.125" style="1" customWidth="1"/>
    <col min="492" max="496" width="2.625" style="1" customWidth="1"/>
    <col min="497" max="497" width="9.125" style="1" customWidth="1"/>
    <col min="498" max="502" width="2.625" style="1" customWidth="1"/>
    <col min="503" max="503" width="9.125" style="1" customWidth="1"/>
    <col min="504" max="508" width="2.625" style="1" customWidth="1"/>
    <col min="509" max="509" width="9.125" style="1" customWidth="1"/>
    <col min="510" max="514" width="2.625" style="1" customWidth="1"/>
    <col min="515" max="515" width="9.125" style="1" customWidth="1"/>
    <col min="516" max="520" width="2.625" style="1" customWidth="1"/>
    <col min="521" max="521" width="9.125" style="1" customWidth="1"/>
    <col min="522" max="526" width="2.625" style="1" customWidth="1"/>
    <col min="527" max="527" width="9.125" style="1" customWidth="1"/>
    <col min="528" max="532" width="2.625" style="1" customWidth="1"/>
    <col min="533" max="533" width="9.125" style="1" customWidth="1"/>
    <col min="534" max="538" width="2.625" style="1" customWidth="1"/>
    <col min="539" max="539" width="9.125" style="1" customWidth="1"/>
    <col min="540" max="544" width="2.625" style="1" customWidth="1"/>
    <col min="545" max="545" width="9.125" style="1" customWidth="1" collapsed="1"/>
    <col min="546" max="550" width="2.625" style="1" customWidth="1"/>
    <col min="551" max="551" width="9.125" style="1" customWidth="1"/>
    <col min="552" max="556" width="2.625" style="1" customWidth="1"/>
    <col min="557" max="557" width="9.125" style="1" customWidth="1"/>
    <col min="558" max="562" width="2.625" style="1" customWidth="1"/>
    <col min="563" max="563" width="9.125" style="1" customWidth="1"/>
    <col min="564" max="568" width="2.625" style="1" customWidth="1"/>
    <col min="569" max="569" width="9.125" style="1" customWidth="1"/>
    <col min="570" max="574" width="2.625" style="1" customWidth="1"/>
    <col min="575" max="575" width="9.125" style="1" customWidth="1"/>
    <col min="576" max="580" width="2.625" style="1" customWidth="1"/>
    <col min="581" max="581" width="9.125" style="1" customWidth="1"/>
    <col min="582" max="586" width="2.625" style="1" customWidth="1"/>
    <col min="587" max="587" width="9.125" style="1" customWidth="1"/>
    <col min="588" max="592" width="2.625" style="1" customWidth="1"/>
    <col min="593" max="593" width="9.125" style="1" customWidth="1"/>
    <col min="594" max="598" width="2.625" style="1" customWidth="1"/>
    <col min="599" max="599" width="9.125" style="1" customWidth="1"/>
    <col min="600" max="604" width="2.625" style="1" customWidth="1"/>
    <col min="605" max="605" width="9.125" style="1" customWidth="1"/>
    <col min="606" max="610" width="2.625" style="1" customWidth="1"/>
    <col min="611" max="611" width="9.125" style="1" customWidth="1"/>
    <col min="612" max="616" width="2.625" style="1" customWidth="1"/>
    <col min="617" max="617" width="9.125" style="1" customWidth="1"/>
    <col min="618" max="622" width="2.625" style="1" customWidth="1"/>
    <col min="623" max="623" width="9.125" style="1" customWidth="1"/>
    <col min="624" max="628" width="2.625" style="1" customWidth="1"/>
    <col min="629" max="629" width="9.125" style="1" customWidth="1"/>
    <col min="630" max="634" width="2.625" style="1" customWidth="1"/>
    <col min="635" max="635" width="9.125" style="1" customWidth="1" collapsed="1"/>
    <col min="636" max="640" width="2.625" style="1" customWidth="1"/>
    <col min="641" max="641" width="9.125" style="1" customWidth="1"/>
    <col min="642" max="646" width="2.625" style="1" customWidth="1"/>
    <col min="647" max="647" width="9.125" style="1" customWidth="1"/>
    <col min="648" max="652" width="2.625" style="1" customWidth="1"/>
    <col min="653" max="653" width="9.125" style="1" customWidth="1"/>
    <col min="654" max="658" width="2.625" style="1" customWidth="1"/>
    <col min="659" max="659" width="9.125" style="1" customWidth="1"/>
    <col min="660" max="664" width="2.625" style="1" customWidth="1"/>
    <col min="665" max="665" width="9.125" style="1" customWidth="1"/>
    <col min="666" max="670" width="2.625" style="1" customWidth="1"/>
    <col min="671" max="671" width="9.125" style="1" customWidth="1"/>
    <col min="672" max="676" width="2.625" style="1" customWidth="1"/>
    <col min="677" max="677" width="9.125" style="1" customWidth="1"/>
    <col min="678" max="682" width="2.625" style="1" customWidth="1"/>
    <col min="683" max="683" width="9.125" style="1" customWidth="1"/>
    <col min="684" max="688" width="2.625" style="1" customWidth="1"/>
    <col min="689" max="689" width="9.125" style="1" customWidth="1"/>
    <col min="690" max="694" width="2.625" style="1" customWidth="1"/>
    <col min="695" max="695" width="9.125" style="1" customWidth="1"/>
    <col min="696" max="700" width="2.625" style="1" customWidth="1"/>
    <col min="701" max="701" width="9.125" style="1" customWidth="1"/>
    <col min="702" max="706" width="2.625" style="1" customWidth="1"/>
    <col min="707" max="707" width="9.125" style="1" customWidth="1"/>
    <col min="708" max="712" width="2.625" style="1" customWidth="1"/>
    <col min="713" max="713" width="9.125" style="1" customWidth="1"/>
    <col min="714" max="718" width="2.625" style="1" customWidth="1"/>
    <col min="719" max="719" width="9.125" style="1" customWidth="1"/>
    <col min="720" max="724" width="2.625" style="1" customWidth="1"/>
    <col min="725" max="725" width="9.125" style="1" customWidth="1" collapsed="1"/>
    <col min="726" max="730" width="2.625" style="1" customWidth="1"/>
    <col min="731" max="731" width="9.125" style="1" customWidth="1"/>
    <col min="732" max="736" width="2.625" style="1" customWidth="1"/>
    <col min="737" max="737" width="9.125" style="1" customWidth="1"/>
    <col min="738" max="742" width="2.625" style="1" customWidth="1"/>
    <col min="743" max="743" width="9.125" style="1" customWidth="1"/>
    <col min="744" max="748" width="2.625" style="1" customWidth="1"/>
    <col min="749" max="749" width="9.125" style="1" customWidth="1"/>
    <col min="750" max="754" width="2.625" style="1" customWidth="1"/>
    <col min="755" max="755" width="9.125" style="1" customWidth="1"/>
    <col min="756" max="760" width="2.625" style="1" customWidth="1"/>
    <col min="761" max="761" width="9.125" style="1" customWidth="1"/>
    <col min="762" max="766" width="2.625" style="1" customWidth="1"/>
    <col min="767" max="767" width="9.125" style="1" customWidth="1"/>
    <col min="768" max="772" width="2.625" style="1" customWidth="1"/>
    <col min="773" max="773" width="9.125" style="1" customWidth="1"/>
    <col min="774" max="778" width="2.625" style="1" customWidth="1"/>
    <col min="779" max="779" width="9.125" style="1" customWidth="1"/>
    <col min="780" max="784" width="2.625" style="1" customWidth="1"/>
    <col min="785" max="785" width="9.125" style="1" customWidth="1"/>
    <col min="786" max="790" width="2.625" style="1" customWidth="1"/>
    <col min="791" max="791" width="9.125" style="1" customWidth="1"/>
    <col min="792" max="796" width="2.625" style="1" customWidth="1"/>
    <col min="797" max="797" width="9.125" style="1" customWidth="1"/>
    <col min="798" max="802" width="2.625" style="1" customWidth="1"/>
    <col min="803" max="803" width="9.125" style="1" customWidth="1"/>
    <col min="804" max="808" width="2.625" style="1" customWidth="1"/>
    <col min="809" max="809" width="9.125" style="1" customWidth="1"/>
    <col min="810" max="814" width="2.625" style="1" customWidth="1"/>
    <col min="815" max="815" width="9.125" style="1" customWidth="1" collapsed="1"/>
    <col min="816" max="828" width="9.125" style="1" customWidth="1"/>
    <col min="829" max="829" width="2.375" style="1" customWidth="1"/>
    <col min="830" max="830" width="9" style="1" collapsed="1"/>
    <col min="831" max="16384" width="9" style="1"/>
  </cols>
  <sheetData>
    <row r="2" spans="1:8" ht="16.5">
      <c r="A2" s="53"/>
    </row>
    <row r="3" spans="1:8" ht="16.5">
      <c r="A3" s="53"/>
      <c r="C3" s="54" t="s">
        <v>489</v>
      </c>
    </row>
    <row r="4" spans="1:8" ht="16.5" customHeight="1">
      <c r="C4" s="55">
        <v>44317</v>
      </c>
    </row>
    <row r="5" spans="1:8" ht="15" customHeight="1" thickBot="1"/>
    <row r="6" spans="1:8" ht="58.5" customHeight="1" thickBot="1">
      <c r="B6" s="44" t="s">
        <v>133</v>
      </c>
      <c r="C6" s="45" t="s">
        <v>505</v>
      </c>
      <c r="D6" s="46" t="s">
        <v>132</v>
      </c>
      <c r="E6" s="63" t="s">
        <v>504</v>
      </c>
      <c r="F6" s="56" t="s">
        <v>503</v>
      </c>
      <c r="G6" s="67" t="s">
        <v>508</v>
      </c>
      <c r="H6" s="67" t="s">
        <v>1824</v>
      </c>
    </row>
    <row r="7" spans="1:8" ht="12">
      <c r="B7" s="66">
        <v>1</v>
      </c>
      <c r="C7" s="66" t="s">
        <v>1954</v>
      </c>
      <c r="D7" s="66" t="s">
        <v>1955</v>
      </c>
      <c r="E7" s="71">
        <v>334797</v>
      </c>
      <c r="F7" s="71">
        <v>334797</v>
      </c>
      <c r="G7" s="72">
        <v>167398</v>
      </c>
      <c r="H7" s="72">
        <v>167399</v>
      </c>
    </row>
    <row r="8" spans="1:8" ht="12">
      <c r="B8" s="64">
        <v>2</v>
      </c>
      <c r="C8" s="64" t="s">
        <v>1956</v>
      </c>
      <c r="D8" s="66" t="s">
        <v>1957</v>
      </c>
      <c r="E8" s="71">
        <v>343200</v>
      </c>
      <c r="F8" s="71">
        <v>343200</v>
      </c>
      <c r="G8" s="72">
        <v>168300</v>
      </c>
      <c r="H8" s="72">
        <v>174900</v>
      </c>
    </row>
    <row r="9" spans="1:8" ht="12">
      <c r="B9" s="64">
        <v>3</v>
      </c>
      <c r="C9" s="64" t="s">
        <v>512</v>
      </c>
      <c r="D9" s="66" t="s">
        <v>513</v>
      </c>
      <c r="E9" s="71">
        <v>237600</v>
      </c>
      <c r="F9" s="71">
        <v>237600</v>
      </c>
      <c r="G9" s="72">
        <v>118800</v>
      </c>
      <c r="H9" s="72">
        <v>118800</v>
      </c>
    </row>
    <row r="10" spans="1:8" ht="12">
      <c r="B10" s="64">
        <v>4</v>
      </c>
      <c r="C10" s="64" t="s">
        <v>1958</v>
      </c>
      <c r="D10" s="66" t="s">
        <v>1959</v>
      </c>
      <c r="E10" s="71">
        <v>110000</v>
      </c>
      <c r="F10" s="71">
        <v>110000</v>
      </c>
      <c r="G10" s="72">
        <v>110000</v>
      </c>
      <c r="H10" s="72">
        <v>0</v>
      </c>
    </row>
    <row r="11" spans="1:8" ht="12">
      <c r="B11" s="64">
        <v>5</v>
      </c>
      <c r="C11" s="64" t="s">
        <v>1960</v>
      </c>
      <c r="D11" s="66" t="s">
        <v>514</v>
      </c>
      <c r="E11" s="71">
        <v>1018000</v>
      </c>
      <c r="F11" s="71">
        <v>1018000</v>
      </c>
      <c r="G11" s="72">
        <v>509000</v>
      </c>
      <c r="H11" s="72">
        <v>509000</v>
      </c>
    </row>
    <row r="12" spans="1:8" ht="12">
      <c r="B12" s="64">
        <v>6</v>
      </c>
      <c r="C12" s="64" t="s">
        <v>1961</v>
      </c>
      <c r="D12" s="66" t="s">
        <v>1962</v>
      </c>
      <c r="E12" s="71">
        <v>34000</v>
      </c>
      <c r="F12" s="71">
        <v>34000</v>
      </c>
      <c r="G12" s="72">
        <v>17000</v>
      </c>
      <c r="H12" s="72">
        <v>17000</v>
      </c>
    </row>
    <row r="13" spans="1:8" ht="12">
      <c r="B13" s="64">
        <v>7</v>
      </c>
      <c r="C13" s="64" t="s">
        <v>1963</v>
      </c>
      <c r="D13" s="66" t="s">
        <v>515</v>
      </c>
      <c r="E13" s="71">
        <v>30300</v>
      </c>
      <c r="F13" s="71">
        <v>30300</v>
      </c>
      <c r="G13" s="72">
        <v>6900</v>
      </c>
      <c r="H13" s="72">
        <v>23400</v>
      </c>
    </row>
    <row r="14" spans="1:8" ht="12">
      <c r="B14" s="64">
        <v>8</v>
      </c>
      <c r="C14" s="64" t="s">
        <v>1964</v>
      </c>
      <c r="D14" s="66" t="s">
        <v>1965</v>
      </c>
      <c r="E14" s="71">
        <v>108400</v>
      </c>
      <c r="F14" s="71">
        <v>108400</v>
      </c>
      <c r="G14" s="72">
        <v>54200</v>
      </c>
      <c r="H14" s="72">
        <v>54200</v>
      </c>
    </row>
    <row r="15" spans="1:8" ht="12">
      <c r="B15" s="64">
        <v>9</v>
      </c>
      <c r="C15" s="64" t="s">
        <v>516</v>
      </c>
      <c r="D15" s="66" t="s">
        <v>1966</v>
      </c>
      <c r="E15" s="71">
        <v>72000</v>
      </c>
      <c r="F15" s="71">
        <v>72000</v>
      </c>
      <c r="G15" s="72">
        <v>36000</v>
      </c>
      <c r="H15" s="72">
        <v>36000</v>
      </c>
    </row>
    <row r="16" spans="1:8" ht="12">
      <c r="B16" s="64">
        <v>10</v>
      </c>
      <c r="C16" s="64" t="s">
        <v>517</v>
      </c>
      <c r="D16" s="66" t="s">
        <v>1967</v>
      </c>
      <c r="E16" s="71">
        <v>123400</v>
      </c>
      <c r="F16" s="71">
        <v>123400</v>
      </c>
      <c r="G16" s="72">
        <v>49600</v>
      </c>
      <c r="H16" s="72">
        <v>73800</v>
      </c>
    </row>
    <row r="17" spans="2:8" ht="12">
      <c r="B17" s="64">
        <v>11</v>
      </c>
      <c r="C17" s="64" t="s">
        <v>518</v>
      </c>
      <c r="D17" s="66" t="s">
        <v>1968</v>
      </c>
      <c r="E17" s="71">
        <v>70800</v>
      </c>
      <c r="F17" s="71">
        <v>70800</v>
      </c>
      <c r="G17" s="72">
        <v>35400</v>
      </c>
      <c r="H17" s="72">
        <v>35400</v>
      </c>
    </row>
    <row r="18" spans="2:8" ht="12">
      <c r="B18" s="64">
        <v>12</v>
      </c>
      <c r="C18" s="64" t="s">
        <v>1969</v>
      </c>
      <c r="D18" s="66" t="s">
        <v>1970</v>
      </c>
      <c r="E18" s="71">
        <v>0</v>
      </c>
      <c r="F18" s="71">
        <v>0</v>
      </c>
      <c r="G18" s="72">
        <v>0</v>
      </c>
      <c r="H18" s="72">
        <v>0</v>
      </c>
    </row>
    <row r="19" spans="2:8" ht="12">
      <c r="B19" s="64">
        <v>13</v>
      </c>
      <c r="C19" s="64" t="s">
        <v>520</v>
      </c>
      <c r="D19" s="66" t="s">
        <v>1970</v>
      </c>
      <c r="E19" s="71">
        <v>0</v>
      </c>
      <c r="F19" s="71">
        <v>0</v>
      </c>
      <c r="G19" s="72">
        <v>0</v>
      </c>
      <c r="H19" s="72">
        <v>0</v>
      </c>
    </row>
    <row r="20" spans="2:8" ht="12">
      <c r="B20" s="64">
        <v>14</v>
      </c>
      <c r="C20" s="64" t="s">
        <v>1971</v>
      </c>
      <c r="D20" s="66" t="s">
        <v>1972</v>
      </c>
      <c r="E20" s="71">
        <v>26400</v>
      </c>
      <c r="F20" s="71">
        <v>26400</v>
      </c>
      <c r="G20" s="72">
        <v>13200</v>
      </c>
      <c r="H20" s="72">
        <v>13200</v>
      </c>
    </row>
    <row r="21" spans="2:8" ht="12">
      <c r="B21" s="64">
        <v>15</v>
      </c>
      <c r="C21" s="64" t="s">
        <v>1973</v>
      </c>
      <c r="D21" s="66" t="s">
        <v>1974</v>
      </c>
      <c r="E21" s="71">
        <v>0</v>
      </c>
      <c r="F21" s="71">
        <v>0</v>
      </c>
      <c r="G21" s="72">
        <v>0</v>
      </c>
      <c r="H21" s="72">
        <v>0</v>
      </c>
    </row>
    <row r="22" spans="2:8" ht="12">
      <c r="B22" s="64">
        <v>16</v>
      </c>
      <c r="C22" s="64" t="s">
        <v>1975</v>
      </c>
      <c r="D22" s="66" t="s">
        <v>1976</v>
      </c>
      <c r="E22" s="71">
        <v>3000</v>
      </c>
      <c r="F22" s="71">
        <v>3000</v>
      </c>
      <c r="G22" s="72">
        <v>1500</v>
      </c>
      <c r="H22" s="72">
        <v>1500</v>
      </c>
    </row>
    <row r="23" spans="2:8" ht="12">
      <c r="B23" s="64">
        <v>17</v>
      </c>
      <c r="C23" s="64" t="s">
        <v>1977</v>
      </c>
      <c r="D23" s="66" t="s">
        <v>521</v>
      </c>
      <c r="E23" s="71">
        <v>70200</v>
      </c>
      <c r="F23" s="71">
        <v>70200</v>
      </c>
      <c r="G23" s="72">
        <v>35100</v>
      </c>
      <c r="H23" s="72">
        <v>35100</v>
      </c>
    </row>
    <row r="24" spans="2:8" ht="12">
      <c r="B24" s="64">
        <v>18</v>
      </c>
      <c r="C24" s="64" t="s">
        <v>1978</v>
      </c>
      <c r="D24" s="66" t="s">
        <v>1970</v>
      </c>
      <c r="E24" s="71">
        <v>0</v>
      </c>
      <c r="F24" s="71">
        <v>0</v>
      </c>
      <c r="G24" s="72">
        <v>0</v>
      </c>
      <c r="H24" s="72">
        <v>0</v>
      </c>
    </row>
    <row r="25" spans="2:8" ht="12">
      <c r="B25" s="64">
        <v>19</v>
      </c>
      <c r="C25" s="64" t="s">
        <v>1979</v>
      </c>
      <c r="D25" s="66" t="s">
        <v>1980</v>
      </c>
      <c r="E25" s="71">
        <v>50000</v>
      </c>
      <c r="F25" s="71">
        <v>50000</v>
      </c>
      <c r="G25" s="72">
        <v>25000</v>
      </c>
      <c r="H25" s="72">
        <v>25000</v>
      </c>
    </row>
    <row r="26" spans="2:8" ht="12">
      <c r="B26" s="64">
        <v>20</v>
      </c>
      <c r="C26" s="64" t="s">
        <v>1981</v>
      </c>
      <c r="D26" s="66" t="s">
        <v>522</v>
      </c>
      <c r="E26" s="71">
        <v>0</v>
      </c>
      <c r="F26" s="71">
        <v>0</v>
      </c>
      <c r="G26" s="72">
        <v>0</v>
      </c>
      <c r="H26" s="72">
        <v>0</v>
      </c>
    </row>
    <row r="27" spans="2:8" ht="12">
      <c r="B27" s="64">
        <v>21</v>
      </c>
      <c r="C27" s="64" t="s">
        <v>523</v>
      </c>
      <c r="D27" s="66" t="s">
        <v>1970</v>
      </c>
      <c r="E27" s="71">
        <v>0</v>
      </c>
      <c r="F27" s="71">
        <v>0</v>
      </c>
      <c r="G27" s="72">
        <v>0</v>
      </c>
      <c r="H27" s="72">
        <v>0</v>
      </c>
    </row>
    <row r="28" spans="2:8" ht="12">
      <c r="B28" s="64">
        <v>22</v>
      </c>
      <c r="C28" s="64" t="s">
        <v>1982</v>
      </c>
      <c r="D28" s="66" t="s">
        <v>1970</v>
      </c>
      <c r="E28" s="71">
        <v>0</v>
      </c>
      <c r="F28" s="71">
        <v>0</v>
      </c>
      <c r="G28" s="72">
        <v>0</v>
      </c>
      <c r="H28" s="72">
        <v>0</v>
      </c>
    </row>
    <row r="29" spans="2:8" ht="12">
      <c r="B29" s="64">
        <v>23</v>
      </c>
      <c r="C29" s="64" t="s">
        <v>524</v>
      </c>
      <c r="D29" s="66" t="s">
        <v>1970</v>
      </c>
      <c r="E29" s="71">
        <v>0</v>
      </c>
      <c r="F29" s="71">
        <v>0</v>
      </c>
      <c r="G29" s="72">
        <v>0</v>
      </c>
      <c r="H29" s="72">
        <v>0</v>
      </c>
    </row>
    <row r="30" spans="2:8" ht="12">
      <c r="B30" s="64">
        <v>24</v>
      </c>
      <c r="C30" s="64" t="s">
        <v>1983</v>
      </c>
      <c r="D30" s="66" t="s">
        <v>1970</v>
      </c>
      <c r="E30" s="71">
        <v>0</v>
      </c>
      <c r="F30" s="71">
        <v>0</v>
      </c>
      <c r="G30" s="72">
        <v>0</v>
      </c>
      <c r="H30" s="72">
        <v>0</v>
      </c>
    </row>
    <row r="31" spans="2:8" ht="12">
      <c r="B31" s="64">
        <v>25</v>
      </c>
      <c r="C31" s="64" t="s">
        <v>1984</v>
      </c>
      <c r="D31" s="66" t="s">
        <v>1970</v>
      </c>
      <c r="E31" s="71">
        <v>0</v>
      </c>
      <c r="F31" s="71">
        <v>0</v>
      </c>
      <c r="G31" s="72">
        <v>0</v>
      </c>
      <c r="H31" s="72">
        <v>0</v>
      </c>
    </row>
    <row r="32" spans="2:8" ht="12">
      <c r="B32" s="64">
        <v>26</v>
      </c>
      <c r="C32" s="64" t="s">
        <v>525</v>
      </c>
      <c r="D32" s="66" t="s">
        <v>1970</v>
      </c>
      <c r="E32" s="71">
        <v>0</v>
      </c>
      <c r="F32" s="71">
        <v>0</v>
      </c>
      <c r="G32" s="72">
        <v>0</v>
      </c>
      <c r="H32" s="72">
        <v>0</v>
      </c>
    </row>
    <row r="33" spans="2:8" ht="12">
      <c r="B33" s="64">
        <v>27</v>
      </c>
      <c r="C33" s="64" t="s">
        <v>526</v>
      </c>
      <c r="D33" s="66" t="s">
        <v>1970</v>
      </c>
      <c r="E33" s="71">
        <v>0</v>
      </c>
      <c r="F33" s="71">
        <v>0</v>
      </c>
      <c r="G33" s="72">
        <v>0</v>
      </c>
      <c r="H33" s="72">
        <v>0</v>
      </c>
    </row>
    <row r="34" spans="2:8" ht="12">
      <c r="B34" s="64">
        <v>28</v>
      </c>
      <c r="C34" s="64" t="s">
        <v>1985</v>
      </c>
      <c r="D34" s="66" t="s">
        <v>519</v>
      </c>
      <c r="E34" s="71">
        <v>0</v>
      </c>
      <c r="F34" s="71">
        <v>0</v>
      </c>
      <c r="G34" s="72">
        <v>0</v>
      </c>
      <c r="H34" s="72">
        <v>0</v>
      </c>
    </row>
    <row r="35" spans="2:8" ht="12">
      <c r="B35" s="64">
        <v>29</v>
      </c>
      <c r="C35" s="64" t="s">
        <v>1986</v>
      </c>
      <c r="D35" s="66" t="s">
        <v>519</v>
      </c>
      <c r="E35" s="71">
        <v>0</v>
      </c>
      <c r="F35" s="71">
        <v>0</v>
      </c>
      <c r="G35" s="72">
        <v>0</v>
      </c>
      <c r="H35" s="72">
        <v>0</v>
      </c>
    </row>
    <row r="36" spans="2:8" ht="12">
      <c r="B36" s="64">
        <v>30</v>
      </c>
      <c r="C36" s="64" t="s">
        <v>1987</v>
      </c>
      <c r="D36" s="66" t="s">
        <v>1988</v>
      </c>
      <c r="E36" s="71">
        <v>134400</v>
      </c>
      <c r="F36" s="71">
        <v>134400</v>
      </c>
      <c r="G36" s="72">
        <v>67200</v>
      </c>
      <c r="H36" s="72">
        <v>67200</v>
      </c>
    </row>
    <row r="37" spans="2:8" ht="12">
      <c r="B37" s="64">
        <v>31</v>
      </c>
      <c r="C37" s="64">
        <v>11</v>
      </c>
      <c r="D37" s="66" t="s">
        <v>527</v>
      </c>
      <c r="E37" s="71">
        <v>0</v>
      </c>
      <c r="F37" s="71">
        <v>0</v>
      </c>
      <c r="G37" s="72">
        <v>0</v>
      </c>
      <c r="H37" s="72">
        <v>0</v>
      </c>
    </row>
    <row r="38" spans="2:8" ht="12">
      <c r="B38" s="64">
        <v>32</v>
      </c>
      <c r="C38" s="64">
        <v>20</v>
      </c>
      <c r="D38" s="66" t="s">
        <v>528</v>
      </c>
      <c r="E38" s="71">
        <v>0</v>
      </c>
      <c r="F38" s="71">
        <v>0</v>
      </c>
      <c r="G38" s="72">
        <v>0</v>
      </c>
      <c r="H38" s="72">
        <v>0</v>
      </c>
    </row>
    <row r="39" spans="2:8" ht="12">
      <c r="B39" s="64">
        <v>33</v>
      </c>
      <c r="C39" s="64">
        <v>23</v>
      </c>
      <c r="D39" s="66" t="s">
        <v>1989</v>
      </c>
      <c r="E39" s="71">
        <v>0</v>
      </c>
      <c r="F39" s="71">
        <v>0</v>
      </c>
      <c r="G39" s="72">
        <v>0</v>
      </c>
      <c r="H39" s="72">
        <v>0</v>
      </c>
    </row>
    <row r="40" spans="2:8" ht="12">
      <c r="B40" s="64">
        <v>34</v>
      </c>
      <c r="C40" s="64">
        <v>28</v>
      </c>
      <c r="D40" s="66" t="s">
        <v>529</v>
      </c>
      <c r="E40" s="71">
        <v>0</v>
      </c>
      <c r="F40" s="71">
        <v>0</v>
      </c>
      <c r="G40" s="72">
        <v>0</v>
      </c>
      <c r="H40" s="72">
        <v>0</v>
      </c>
    </row>
    <row r="41" spans="2:8" ht="12">
      <c r="B41" s="64">
        <v>35</v>
      </c>
      <c r="C41" s="64" t="s">
        <v>1990</v>
      </c>
      <c r="D41" s="66" t="s">
        <v>1991</v>
      </c>
      <c r="E41" s="71">
        <v>0</v>
      </c>
      <c r="F41" s="71">
        <v>0</v>
      </c>
      <c r="G41" s="72">
        <v>0</v>
      </c>
      <c r="H41" s="72">
        <v>0</v>
      </c>
    </row>
    <row r="42" spans="2:8" ht="12">
      <c r="B42" s="64">
        <v>36</v>
      </c>
      <c r="C42" s="64" t="s">
        <v>1992</v>
      </c>
      <c r="D42" s="66" t="s">
        <v>530</v>
      </c>
      <c r="E42" s="71">
        <v>0</v>
      </c>
      <c r="F42" s="71">
        <v>0</v>
      </c>
      <c r="G42" s="72">
        <v>0</v>
      </c>
      <c r="H42" s="72">
        <v>0</v>
      </c>
    </row>
    <row r="43" spans="2:8" ht="12">
      <c r="B43" s="64">
        <v>37</v>
      </c>
      <c r="C43" s="64" t="s">
        <v>1993</v>
      </c>
      <c r="D43" s="66" t="s">
        <v>1994</v>
      </c>
      <c r="E43" s="71">
        <v>0</v>
      </c>
      <c r="F43" s="71">
        <v>0</v>
      </c>
      <c r="G43" s="72">
        <v>0</v>
      </c>
      <c r="H43" s="72">
        <v>0</v>
      </c>
    </row>
    <row r="44" spans="2:8" ht="12">
      <c r="B44" s="64">
        <v>38</v>
      </c>
      <c r="C44" s="64" t="s">
        <v>1995</v>
      </c>
      <c r="D44" s="66" t="s">
        <v>1996</v>
      </c>
      <c r="E44" s="71">
        <v>0</v>
      </c>
      <c r="F44" s="71">
        <v>0</v>
      </c>
      <c r="G44" s="72">
        <v>0</v>
      </c>
      <c r="H44" s="72">
        <v>0</v>
      </c>
    </row>
    <row r="45" spans="2:8" ht="12">
      <c r="B45" s="64">
        <v>39</v>
      </c>
      <c r="C45" s="64">
        <v>22</v>
      </c>
      <c r="D45" s="66" t="s">
        <v>1997</v>
      </c>
      <c r="E45" s="71">
        <v>0</v>
      </c>
      <c r="F45" s="71">
        <v>0</v>
      </c>
      <c r="G45" s="72">
        <v>0</v>
      </c>
      <c r="H45" s="72">
        <v>0</v>
      </c>
    </row>
    <row r="46" spans="2:8" ht="12">
      <c r="B46" s="64">
        <v>40</v>
      </c>
      <c r="C46" s="64" t="s">
        <v>451</v>
      </c>
      <c r="D46" s="66" t="s">
        <v>1998</v>
      </c>
      <c r="E46" s="71">
        <v>0</v>
      </c>
      <c r="F46" s="71">
        <v>0</v>
      </c>
      <c r="G46" s="72">
        <v>0</v>
      </c>
      <c r="H46" s="72">
        <v>0</v>
      </c>
    </row>
    <row r="47" spans="2:8" ht="12">
      <c r="B47" s="64">
        <v>41</v>
      </c>
      <c r="C47" s="64" t="s">
        <v>1999</v>
      </c>
      <c r="D47" s="66" t="s">
        <v>2000</v>
      </c>
      <c r="E47" s="71">
        <v>0</v>
      </c>
      <c r="F47" s="71">
        <v>0</v>
      </c>
      <c r="G47" s="72">
        <v>0</v>
      </c>
      <c r="H47" s="72">
        <v>0</v>
      </c>
    </row>
    <row r="48" spans="2:8" ht="12">
      <c r="B48" s="64">
        <v>42</v>
      </c>
      <c r="C48" s="64" t="s">
        <v>2001</v>
      </c>
      <c r="D48" s="66" t="s">
        <v>2002</v>
      </c>
      <c r="E48" s="71">
        <v>0</v>
      </c>
      <c r="F48" s="71">
        <v>0</v>
      </c>
      <c r="G48" s="72">
        <v>0</v>
      </c>
      <c r="H48" s="72">
        <v>0</v>
      </c>
    </row>
    <row r="49" spans="2:8" ht="12">
      <c r="B49" s="64">
        <v>43</v>
      </c>
      <c r="C49" s="64" t="s">
        <v>454</v>
      </c>
      <c r="D49" s="66" t="s">
        <v>2003</v>
      </c>
      <c r="E49" s="71">
        <v>0</v>
      </c>
      <c r="F49" s="71">
        <v>0</v>
      </c>
      <c r="G49" s="72">
        <v>0</v>
      </c>
      <c r="H49" s="72">
        <v>0</v>
      </c>
    </row>
    <row r="50" spans="2:8" ht="12">
      <c r="B50" s="64">
        <v>44</v>
      </c>
      <c r="C50" s="64" t="s">
        <v>2004</v>
      </c>
      <c r="D50" s="66" t="s">
        <v>531</v>
      </c>
      <c r="E50" s="71">
        <v>0</v>
      </c>
      <c r="F50" s="71">
        <v>0</v>
      </c>
      <c r="G50" s="72">
        <v>0</v>
      </c>
      <c r="H50" s="72">
        <v>0</v>
      </c>
    </row>
    <row r="51" spans="2:8" ht="12">
      <c r="B51" s="64">
        <v>45</v>
      </c>
      <c r="C51" s="64" t="s">
        <v>2005</v>
      </c>
      <c r="D51" s="66" t="s">
        <v>2006</v>
      </c>
      <c r="E51" s="71">
        <v>0</v>
      </c>
      <c r="F51" s="71">
        <v>0</v>
      </c>
      <c r="G51" s="72">
        <v>0</v>
      </c>
      <c r="H51" s="72">
        <v>0</v>
      </c>
    </row>
    <row r="52" spans="2:8" ht="12">
      <c r="B52" s="64">
        <v>46</v>
      </c>
      <c r="C52" s="64" t="s">
        <v>457</v>
      </c>
      <c r="D52" s="66" t="s">
        <v>2007</v>
      </c>
      <c r="E52" s="71">
        <v>0</v>
      </c>
      <c r="F52" s="71">
        <v>0</v>
      </c>
      <c r="G52" s="72">
        <v>0</v>
      </c>
      <c r="H52" s="72">
        <v>0</v>
      </c>
    </row>
    <row r="53" spans="2:8" ht="12">
      <c r="B53" s="64">
        <v>47</v>
      </c>
      <c r="C53" s="64">
        <v>30</v>
      </c>
      <c r="D53" s="66" t="s">
        <v>2008</v>
      </c>
      <c r="E53" s="71">
        <v>0</v>
      </c>
      <c r="F53" s="71">
        <v>0</v>
      </c>
      <c r="G53" s="72">
        <v>0</v>
      </c>
      <c r="H53" s="72">
        <v>0</v>
      </c>
    </row>
    <row r="54" spans="2:8" ht="12">
      <c r="B54" s="64">
        <v>48</v>
      </c>
      <c r="C54" s="64" t="s">
        <v>2009</v>
      </c>
      <c r="D54" s="66" t="s">
        <v>532</v>
      </c>
      <c r="E54" s="71">
        <v>0</v>
      </c>
      <c r="F54" s="71">
        <v>0</v>
      </c>
      <c r="G54" s="72">
        <v>0</v>
      </c>
      <c r="H54" s="72">
        <v>0</v>
      </c>
    </row>
    <row r="55" spans="2:8" ht="12">
      <c r="B55" s="64">
        <v>49</v>
      </c>
      <c r="C55" s="64" t="s">
        <v>2010</v>
      </c>
      <c r="D55" s="66" t="s">
        <v>2011</v>
      </c>
      <c r="E55" s="71">
        <v>0</v>
      </c>
      <c r="F55" s="71">
        <v>0</v>
      </c>
      <c r="G55" s="72">
        <v>0</v>
      </c>
      <c r="H55" s="72">
        <v>0</v>
      </c>
    </row>
    <row r="56" spans="2:8" ht="12">
      <c r="B56" s="64">
        <v>50</v>
      </c>
      <c r="C56" s="64" t="s">
        <v>460</v>
      </c>
      <c r="D56" s="66" t="s">
        <v>533</v>
      </c>
      <c r="E56" s="71">
        <v>0</v>
      </c>
      <c r="F56" s="71">
        <v>0</v>
      </c>
      <c r="G56" s="72">
        <v>0</v>
      </c>
      <c r="H56" s="72">
        <v>0</v>
      </c>
    </row>
    <row r="57" spans="2:8" ht="12">
      <c r="B57" s="64">
        <v>51</v>
      </c>
      <c r="C57" s="64" t="s">
        <v>2012</v>
      </c>
      <c r="D57" s="66" t="s">
        <v>2013</v>
      </c>
      <c r="E57" s="71">
        <v>0</v>
      </c>
      <c r="F57" s="71">
        <v>0</v>
      </c>
      <c r="G57" s="72">
        <v>0</v>
      </c>
      <c r="H57" s="72">
        <v>0</v>
      </c>
    </row>
    <row r="58" spans="2:8" ht="12">
      <c r="B58" s="64">
        <v>52</v>
      </c>
      <c r="C58" s="64" t="s">
        <v>2014</v>
      </c>
      <c r="D58" s="66" t="s">
        <v>2015</v>
      </c>
      <c r="E58" s="71">
        <v>0</v>
      </c>
      <c r="F58" s="71">
        <v>0</v>
      </c>
      <c r="G58" s="72">
        <v>0</v>
      </c>
      <c r="H58" s="72">
        <v>0</v>
      </c>
    </row>
    <row r="59" spans="2:8" ht="12">
      <c r="B59" s="64">
        <v>53</v>
      </c>
      <c r="C59" s="64" t="s">
        <v>2016</v>
      </c>
      <c r="D59" s="66" t="s">
        <v>534</v>
      </c>
      <c r="E59" s="71">
        <v>0</v>
      </c>
      <c r="F59" s="71">
        <v>0</v>
      </c>
      <c r="G59" s="72">
        <v>0</v>
      </c>
      <c r="H59" s="72">
        <v>0</v>
      </c>
    </row>
    <row r="60" spans="2:8" ht="12">
      <c r="B60" s="64">
        <v>54</v>
      </c>
      <c r="C60" s="64" t="s">
        <v>2017</v>
      </c>
      <c r="D60" s="66" t="s">
        <v>2018</v>
      </c>
      <c r="E60" s="71">
        <v>0</v>
      </c>
      <c r="F60" s="71">
        <v>0</v>
      </c>
      <c r="G60" s="72">
        <v>0</v>
      </c>
      <c r="H60" s="72">
        <v>0</v>
      </c>
    </row>
    <row r="61" spans="2:8" ht="12">
      <c r="B61" s="64">
        <v>55</v>
      </c>
      <c r="C61" s="64" t="s">
        <v>2019</v>
      </c>
      <c r="D61" s="66" t="s">
        <v>2020</v>
      </c>
      <c r="E61" s="71">
        <v>0</v>
      </c>
      <c r="F61" s="71">
        <v>0</v>
      </c>
      <c r="G61" s="72">
        <v>0</v>
      </c>
      <c r="H61" s="72">
        <v>0</v>
      </c>
    </row>
    <row r="62" spans="2:8" ht="12">
      <c r="B62" s="64">
        <v>56</v>
      </c>
      <c r="C62" s="64" t="s">
        <v>2021</v>
      </c>
      <c r="D62" s="66" t="s">
        <v>2022</v>
      </c>
      <c r="E62" s="71">
        <v>0</v>
      </c>
      <c r="F62" s="71">
        <v>0</v>
      </c>
      <c r="G62" s="72">
        <v>0</v>
      </c>
      <c r="H62" s="72">
        <v>0</v>
      </c>
    </row>
    <row r="63" spans="2:8" ht="12">
      <c r="B63" s="64">
        <v>57</v>
      </c>
      <c r="C63" s="64" t="s">
        <v>2023</v>
      </c>
      <c r="D63" s="66" t="s">
        <v>2024</v>
      </c>
      <c r="E63" s="71">
        <v>0</v>
      </c>
      <c r="F63" s="71">
        <v>0</v>
      </c>
      <c r="G63" s="72">
        <v>0</v>
      </c>
      <c r="H63" s="72">
        <v>0</v>
      </c>
    </row>
    <row r="64" spans="2:8" ht="12">
      <c r="B64" s="64">
        <v>58</v>
      </c>
      <c r="C64" s="64" t="s">
        <v>2025</v>
      </c>
      <c r="D64" s="66" t="s">
        <v>2026</v>
      </c>
      <c r="E64" s="71">
        <v>0</v>
      </c>
      <c r="F64" s="71">
        <v>0</v>
      </c>
      <c r="G64" s="72">
        <v>0</v>
      </c>
      <c r="H64" s="72">
        <v>0</v>
      </c>
    </row>
    <row r="65" spans="2:8" ht="12">
      <c r="B65" s="64">
        <v>59</v>
      </c>
      <c r="C65" s="64" t="s">
        <v>2027</v>
      </c>
      <c r="D65" s="66" t="s">
        <v>2028</v>
      </c>
      <c r="E65" s="71">
        <v>0</v>
      </c>
      <c r="F65" s="71">
        <v>0</v>
      </c>
      <c r="G65" s="72">
        <v>0</v>
      </c>
      <c r="H65" s="72">
        <v>0</v>
      </c>
    </row>
    <row r="66" spans="2:8" ht="12">
      <c r="B66" s="64">
        <v>60</v>
      </c>
      <c r="C66" s="64" t="s">
        <v>2029</v>
      </c>
      <c r="D66" s="66" t="s">
        <v>535</v>
      </c>
      <c r="E66" s="71">
        <v>0</v>
      </c>
      <c r="F66" s="71">
        <v>0</v>
      </c>
      <c r="G66" s="72">
        <v>0</v>
      </c>
      <c r="H66" s="72">
        <v>0</v>
      </c>
    </row>
    <row r="67" spans="2:8" ht="12">
      <c r="B67" s="64">
        <v>61</v>
      </c>
      <c r="C67" s="64" t="s">
        <v>2030</v>
      </c>
      <c r="D67" s="66" t="s">
        <v>2031</v>
      </c>
      <c r="E67" s="71">
        <v>0</v>
      </c>
      <c r="F67" s="71">
        <v>0</v>
      </c>
      <c r="G67" s="72">
        <v>0</v>
      </c>
      <c r="H67" s="72">
        <v>0</v>
      </c>
    </row>
    <row r="68" spans="2:8" ht="12">
      <c r="B68" s="64">
        <v>62</v>
      </c>
      <c r="C68" s="64" t="s">
        <v>464</v>
      </c>
      <c r="D68" s="66" t="s">
        <v>2032</v>
      </c>
      <c r="E68" s="71">
        <v>0</v>
      </c>
      <c r="F68" s="71">
        <v>0</v>
      </c>
      <c r="G68" s="72">
        <v>0</v>
      </c>
      <c r="H68" s="72">
        <v>0</v>
      </c>
    </row>
    <row r="69" spans="2:8" ht="12">
      <c r="B69" s="64">
        <v>63</v>
      </c>
      <c r="C69" s="64" t="s">
        <v>2033</v>
      </c>
      <c r="D69" s="66" t="s">
        <v>536</v>
      </c>
      <c r="E69" s="71">
        <v>0</v>
      </c>
      <c r="F69" s="71">
        <v>0</v>
      </c>
      <c r="G69" s="72">
        <v>0</v>
      </c>
      <c r="H69" s="72">
        <v>0</v>
      </c>
    </row>
    <row r="70" spans="2:8" ht="12">
      <c r="B70" s="64">
        <v>64</v>
      </c>
      <c r="C70" s="64" t="s">
        <v>2034</v>
      </c>
      <c r="D70" s="66" t="s">
        <v>2035</v>
      </c>
      <c r="E70" s="71">
        <v>0</v>
      </c>
      <c r="F70" s="71">
        <v>0</v>
      </c>
      <c r="G70" s="72">
        <v>0</v>
      </c>
      <c r="H70" s="72">
        <v>0</v>
      </c>
    </row>
    <row r="71" spans="2:8" ht="12">
      <c r="B71" s="64">
        <v>65</v>
      </c>
      <c r="C71" s="64">
        <v>48</v>
      </c>
      <c r="D71" s="66" t="s">
        <v>2036</v>
      </c>
      <c r="E71" s="71">
        <v>0</v>
      </c>
      <c r="F71" s="71">
        <v>0</v>
      </c>
      <c r="G71" s="72">
        <v>0</v>
      </c>
      <c r="H71" s="72">
        <v>0</v>
      </c>
    </row>
    <row r="72" spans="2:8" ht="12">
      <c r="B72" s="64">
        <v>66</v>
      </c>
      <c r="C72" s="64" t="s">
        <v>2037</v>
      </c>
      <c r="D72" s="66" t="s">
        <v>2038</v>
      </c>
      <c r="E72" s="71">
        <v>0</v>
      </c>
      <c r="F72" s="71">
        <v>0</v>
      </c>
      <c r="G72" s="72">
        <v>0</v>
      </c>
      <c r="H72" s="72">
        <v>0</v>
      </c>
    </row>
    <row r="73" spans="2:8" ht="12">
      <c r="B73" s="64">
        <v>67</v>
      </c>
      <c r="C73" s="64" t="s">
        <v>2039</v>
      </c>
      <c r="D73" s="66" t="s">
        <v>2040</v>
      </c>
      <c r="E73" s="71">
        <v>0</v>
      </c>
      <c r="F73" s="71">
        <v>0</v>
      </c>
      <c r="G73" s="72">
        <v>0</v>
      </c>
      <c r="H73" s="72">
        <v>0</v>
      </c>
    </row>
    <row r="74" spans="2:8" ht="12">
      <c r="B74" s="64">
        <v>68</v>
      </c>
      <c r="C74" s="64" t="s">
        <v>2041</v>
      </c>
      <c r="D74" s="66" t="s">
        <v>2042</v>
      </c>
      <c r="E74" s="71">
        <v>0</v>
      </c>
      <c r="F74" s="71">
        <v>0</v>
      </c>
      <c r="G74" s="72">
        <v>0</v>
      </c>
      <c r="H74" s="72">
        <v>0</v>
      </c>
    </row>
    <row r="75" spans="2:8" ht="12">
      <c r="B75" s="64">
        <v>69</v>
      </c>
      <c r="C75" s="64" t="s">
        <v>2043</v>
      </c>
      <c r="D75" s="66" t="s">
        <v>537</v>
      </c>
      <c r="E75" s="71">
        <v>0</v>
      </c>
      <c r="F75" s="71">
        <v>0</v>
      </c>
      <c r="G75" s="72">
        <v>0</v>
      </c>
      <c r="H75" s="72">
        <v>0</v>
      </c>
    </row>
    <row r="76" spans="2:8" ht="12">
      <c r="B76" s="64">
        <v>70</v>
      </c>
      <c r="C76" s="64" t="s">
        <v>538</v>
      </c>
      <c r="D76" s="66" t="s">
        <v>2044</v>
      </c>
      <c r="E76" s="71">
        <v>0</v>
      </c>
      <c r="F76" s="71">
        <v>0</v>
      </c>
      <c r="G76" s="72">
        <v>0</v>
      </c>
      <c r="H76" s="72">
        <v>0</v>
      </c>
    </row>
    <row r="77" spans="2:8" ht="12">
      <c r="B77" s="64">
        <v>71</v>
      </c>
      <c r="C77" s="64" t="s">
        <v>2045</v>
      </c>
      <c r="D77" s="66" t="s">
        <v>539</v>
      </c>
      <c r="E77" s="71">
        <v>0</v>
      </c>
      <c r="F77" s="71">
        <v>0</v>
      </c>
      <c r="G77" s="72">
        <v>0</v>
      </c>
      <c r="H77" s="72">
        <v>0</v>
      </c>
    </row>
    <row r="78" spans="2:8" ht="12">
      <c r="B78" s="64">
        <v>72</v>
      </c>
      <c r="C78" s="64">
        <v>55</v>
      </c>
      <c r="D78" s="66" t="s">
        <v>2046</v>
      </c>
      <c r="E78" s="71">
        <v>0</v>
      </c>
      <c r="F78" s="71">
        <v>0</v>
      </c>
      <c r="G78" s="72">
        <v>0</v>
      </c>
      <c r="H78" s="72">
        <v>0</v>
      </c>
    </row>
    <row r="79" spans="2:8" ht="12">
      <c r="B79" s="64">
        <v>73</v>
      </c>
      <c r="C79" s="64" t="s">
        <v>2047</v>
      </c>
      <c r="D79" s="66" t="s">
        <v>2048</v>
      </c>
      <c r="E79" s="71">
        <v>0</v>
      </c>
      <c r="F79" s="71">
        <v>0</v>
      </c>
      <c r="G79" s="72">
        <v>0</v>
      </c>
      <c r="H79" s="72">
        <v>0</v>
      </c>
    </row>
    <row r="80" spans="2:8" ht="12">
      <c r="B80" s="64">
        <v>74</v>
      </c>
      <c r="C80" s="64" t="s">
        <v>2049</v>
      </c>
      <c r="D80" s="66" t="s">
        <v>2050</v>
      </c>
      <c r="E80" s="71">
        <v>0</v>
      </c>
      <c r="F80" s="71">
        <v>0</v>
      </c>
      <c r="G80" s="72">
        <v>0</v>
      </c>
      <c r="H80" s="72">
        <v>0</v>
      </c>
    </row>
    <row r="81" spans="2:8" ht="12">
      <c r="B81" s="64">
        <v>75</v>
      </c>
      <c r="C81" s="64" t="s">
        <v>2051</v>
      </c>
      <c r="D81" s="66" t="s">
        <v>540</v>
      </c>
      <c r="E81" s="71">
        <v>0</v>
      </c>
      <c r="F81" s="71">
        <v>0</v>
      </c>
      <c r="G81" s="72">
        <v>0</v>
      </c>
      <c r="H81" s="72">
        <v>0</v>
      </c>
    </row>
    <row r="82" spans="2:8" ht="12">
      <c r="B82" s="64">
        <v>76</v>
      </c>
      <c r="C82" s="64">
        <v>59</v>
      </c>
      <c r="D82" s="66" t="s">
        <v>2052</v>
      </c>
      <c r="E82" s="71">
        <v>0</v>
      </c>
      <c r="F82" s="71">
        <v>0</v>
      </c>
      <c r="G82" s="72">
        <v>0</v>
      </c>
      <c r="H82" s="72">
        <v>0</v>
      </c>
    </row>
    <row r="83" spans="2:8" ht="12">
      <c r="B83" s="64">
        <v>77</v>
      </c>
      <c r="C83" s="64">
        <v>60</v>
      </c>
      <c r="D83" s="66" t="s">
        <v>541</v>
      </c>
      <c r="E83" s="71">
        <v>0</v>
      </c>
      <c r="F83" s="71">
        <v>0</v>
      </c>
      <c r="G83" s="72">
        <v>0</v>
      </c>
      <c r="H83" s="72">
        <v>0</v>
      </c>
    </row>
    <row r="84" spans="2:8" ht="12">
      <c r="B84" s="64">
        <v>78</v>
      </c>
      <c r="C84" s="64" t="s">
        <v>471</v>
      </c>
      <c r="D84" s="66" t="s">
        <v>542</v>
      </c>
      <c r="E84" s="71">
        <v>0</v>
      </c>
      <c r="F84" s="71">
        <v>0</v>
      </c>
      <c r="G84" s="72">
        <v>0</v>
      </c>
      <c r="H84" s="72">
        <v>0</v>
      </c>
    </row>
    <row r="85" spans="2:8" ht="12">
      <c r="B85" s="64">
        <v>79</v>
      </c>
      <c r="C85" s="64" t="s">
        <v>2053</v>
      </c>
      <c r="D85" s="66" t="s">
        <v>2054</v>
      </c>
      <c r="E85" s="71">
        <v>0</v>
      </c>
      <c r="F85" s="71">
        <v>0</v>
      </c>
      <c r="G85" s="72">
        <v>0</v>
      </c>
      <c r="H85" s="72">
        <v>0</v>
      </c>
    </row>
    <row r="86" spans="2:8" ht="12">
      <c r="B86" s="64">
        <v>80</v>
      </c>
      <c r="C86" s="64" t="s">
        <v>2055</v>
      </c>
      <c r="D86" s="66" t="s">
        <v>2056</v>
      </c>
      <c r="E86" s="71">
        <v>0</v>
      </c>
      <c r="F86" s="71">
        <v>0</v>
      </c>
      <c r="G86" s="72">
        <v>0</v>
      </c>
      <c r="H86" s="72">
        <v>0</v>
      </c>
    </row>
    <row r="87" spans="2:8" ht="12">
      <c r="B87" s="64">
        <v>81</v>
      </c>
      <c r="C87" s="64" t="s">
        <v>2057</v>
      </c>
      <c r="D87" s="66" t="s">
        <v>543</v>
      </c>
      <c r="E87" s="71">
        <v>0</v>
      </c>
      <c r="F87" s="71">
        <v>0</v>
      </c>
      <c r="G87" s="72">
        <v>0</v>
      </c>
      <c r="H87" s="72">
        <v>0</v>
      </c>
    </row>
    <row r="88" spans="2:8" ht="12">
      <c r="B88" s="64">
        <v>82</v>
      </c>
      <c r="C88" s="64" t="s">
        <v>2058</v>
      </c>
      <c r="D88" s="66" t="s">
        <v>2059</v>
      </c>
      <c r="E88" s="71">
        <v>0</v>
      </c>
      <c r="F88" s="71">
        <v>0</v>
      </c>
      <c r="G88" s="72">
        <v>0</v>
      </c>
      <c r="H88" s="72">
        <v>0</v>
      </c>
    </row>
    <row r="89" spans="2:8" ht="12">
      <c r="B89" s="64">
        <v>83</v>
      </c>
      <c r="C89" s="64" t="s">
        <v>473</v>
      </c>
      <c r="D89" s="66" t="s">
        <v>2060</v>
      </c>
      <c r="E89" s="71">
        <v>0</v>
      </c>
      <c r="F89" s="71">
        <v>0</v>
      </c>
      <c r="G89" s="72">
        <v>0</v>
      </c>
      <c r="H89" s="72">
        <v>0</v>
      </c>
    </row>
    <row r="90" spans="2:8" ht="12">
      <c r="B90" s="64">
        <v>84</v>
      </c>
      <c r="C90" s="64" t="s">
        <v>2061</v>
      </c>
      <c r="D90" s="66" t="s">
        <v>544</v>
      </c>
      <c r="E90" s="71">
        <v>0</v>
      </c>
      <c r="F90" s="71">
        <v>0</v>
      </c>
      <c r="G90" s="72">
        <v>0</v>
      </c>
      <c r="H90" s="72">
        <v>0</v>
      </c>
    </row>
    <row r="91" spans="2:8" ht="12">
      <c r="B91" s="64">
        <v>85</v>
      </c>
      <c r="C91" s="64" t="s">
        <v>545</v>
      </c>
      <c r="D91" s="66" t="s">
        <v>2062</v>
      </c>
      <c r="E91" s="71">
        <v>0</v>
      </c>
      <c r="F91" s="71">
        <v>0</v>
      </c>
      <c r="G91" s="72">
        <v>0</v>
      </c>
      <c r="H91" s="72">
        <v>0</v>
      </c>
    </row>
    <row r="92" spans="2:8" ht="12">
      <c r="B92" s="64">
        <v>86</v>
      </c>
      <c r="C92" s="64" t="s">
        <v>2063</v>
      </c>
      <c r="D92" s="66" t="s">
        <v>2064</v>
      </c>
      <c r="E92" s="71">
        <v>0</v>
      </c>
      <c r="F92" s="71">
        <v>0</v>
      </c>
      <c r="G92" s="72">
        <v>0</v>
      </c>
      <c r="H92" s="72">
        <v>0</v>
      </c>
    </row>
    <row r="93" spans="2:8" ht="12">
      <c r="B93" s="64">
        <v>87</v>
      </c>
      <c r="C93" s="64" t="s">
        <v>2065</v>
      </c>
      <c r="D93" s="66" t="s">
        <v>2066</v>
      </c>
      <c r="E93" s="71">
        <v>0</v>
      </c>
      <c r="F93" s="71">
        <v>0</v>
      </c>
      <c r="G93" s="72">
        <v>0</v>
      </c>
      <c r="H93" s="72">
        <v>0</v>
      </c>
    </row>
    <row r="94" spans="2:8" ht="12">
      <c r="B94" s="64">
        <v>88</v>
      </c>
      <c r="C94" s="64" t="s">
        <v>2067</v>
      </c>
      <c r="D94" s="66" t="s">
        <v>2068</v>
      </c>
      <c r="E94" s="71">
        <v>0</v>
      </c>
      <c r="F94" s="71">
        <v>0</v>
      </c>
      <c r="G94" s="72">
        <v>0</v>
      </c>
      <c r="H94" s="72">
        <v>0</v>
      </c>
    </row>
    <row r="95" spans="2:8" ht="12">
      <c r="B95" s="64">
        <v>89</v>
      </c>
      <c r="C95" s="64" t="s">
        <v>2069</v>
      </c>
      <c r="D95" s="66" t="s">
        <v>546</v>
      </c>
      <c r="E95" s="71">
        <v>0</v>
      </c>
      <c r="F95" s="71">
        <v>0</v>
      </c>
      <c r="G95" s="72">
        <v>0</v>
      </c>
      <c r="H95" s="72">
        <v>0</v>
      </c>
    </row>
    <row r="96" spans="2:8" ht="12">
      <c r="B96" s="64">
        <v>90</v>
      </c>
      <c r="C96" s="64" t="s">
        <v>2070</v>
      </c>
      <c r="D96" s="66" t="s">
        <v>2071</v>
      </c>
      <c r="E96" s="71">
        <v>0</v>
      </c>
      <c r="F96" s="71">
        <v>0</v>
      </c>
      <c r="G96" s="72">
        <v>0</v>
      </c>
      <c r="H96" s="72">
        <v>0</v>
      </c>
    </row>
    <row r="97" spans="2:8" ht="12">
      <c r="B97" s="64">
        <v>91</v>
      </c>
      <c r="C97" s="64" t="s">
        <v>547</v>
      </c>
      <c r="D97" s="66" t="s">
        <v>2072</v>
      </c>
      <c r="E97" s="71">
        <v>0</v>
      </c>
      <c r="F97" s="71">
        <v>0</v>
      </c>
      <c r="G97" s="72">
        <v>0</v>
      </c>
      <c r="H97" s="72">
        <v>0</v>
      </c>
    </row>
    <row r="98" spans="2:8" ht="12">
      <c r="B98" s="64">
        <v>92</v>
      </c>
      <c r="C98" s="64" t="s">
        <v>548</v>
      </c>
      <c r="D98" s="66" t="s">
        <v>2073</v>
      </c>
      <c r="E98" s="71">
        <v>0</v>
      </c>
      <c r="F98" s="71">
        <v>0</v>
      </c>
      <c r="G98" s="72">
        <v>0</v>
      </c>
      <c r="H98" s="72">
        <v>0</v>
      </c>
    </row>
    <row r="99" spans="2:8" ht="12">
      <c r="B99" s="64">
        <v>93</v>
      </c>
      <c r="C99" s="64" t="s">
        <v>2074</v>
      </c>
      <c r="D99" s="66" t="s">
        <v>549</v>
      </c>
      <c r="E99" s="71">
        <v>0</v>
      </c>
      <c r="F99" s="71">
        <v>0</v>
      </c>
      <c r="G99" s="72">
        <v>0</v>
      </c>
      <c r="H99" s="72">
        <v>0</v>
      </c>
    </row>
    <row r="100" spans="2:8" ht="12">
      <c r="B100" s="64">
        <v>94</v>
      </c>
      <c r="C100" s="64" t="s">
        <v>2075</v>
      </c>
      <c r="D100" s="66" t="s">
        <v>2076</v>
      </c>
      <c r="E100" s="71">
        <v>0</v>
      </c>
      <c r="F100" s="71">
        <v>0</v>
      </c>
      <c r="G100" s="72">
        <v>0</v>
      </c>
      <c r="H100" s="72">
        <v>0</v>
      </c>
    </row>
    <row r="101" spans="2:8" ht="12">
      <c r="B101" s="64">
        <v>95</v>
      </c>
      <c r="C101" s="64">
        <v>78</v>
      </c>
      <c r="D101" s="66" t="s">
        <v>550</v>
      </c>
      <c r="E101" s="71">
        <v>0</v>
      </c>
      <c r="F101" s="71">
        <v>0</v>
      </c>
      <c r="G101" s="72">
        <v>0</v>
      </c>
      <c r="H101" s="72">
        <v>0</v>
      </c>
    </row>
    <row r="102" spans="2:8" ht="12">
      <c r="B102" s="64">
        <v>96</v>
      </c>
      <c r="C102" s="64" t="s">
        <v>551</v>
      </c>
      <c r="D102" s="66" t="s">
        <v>2077</v>
      </c>
      <c r="E102" s="71">
        <v>0</v>
      </c>
      <c r="F102" s="71">
        <v>0</v>
      </c>
      <c r="G102" s="72">
        <v>0</v>
      </c>
      <c r="H102" s="72">
        <v>0</v>
      </c>
    </row>
    <row r="103" spans="2:8" ht="12">
      <c r="B103" s="64">
        <v>97</v>
      </c>
      <c r="C103" s="64" t="s">
        <v>552</v>
      </c>
      <c r="D103" s="66" t="s">
        <v>2078</v>
      </c>
      <c r="E103" s="71">
        <v>0</v>
      </c>
      <c r="F103" s="71">
        <v>0</v>
      </c>
      <c r="G103" s="72">
        <v>0</v>
      </c>
      <c r="H103" s="72">
        <v>0</v>
      </c>
    </row>
    <row r="104" spans="2:8" ht="12">
      <c r="B104" s="64">
        <v>98</v>
      </c>
      <c r="C104" s="64" t="s">
        <v>2079</v>
      </c>
      <c r="D104" s="66" t="s">
        <v>673</v>
      </c>
      <c r="E104" s="71">
        <v>0</v>
      </c>
      <c r="F104" s="71">
        <v>0</v>
      </c>
      <c r="G104" s="72">
        <v>0</v>
      </c>
      <c r="H104" s="72">
        <v>0</v>
      </c>
    </row>
    <row r="105" spans="2:8" ht="12">
      <c r="B105" s="64">
        <v>99</v>
      </c>
      <c r="C105" s="64" t="s">
        <v>674</v>
      </c>
      <c r="D105" s="66" t="s">
        <v>553</v>
      </c>
      <c r="E105" s="71">
        <v>0</v>
      </c>
      <c r="F105" s="71">
        <v>0</v>
      </c>
      <c r="G105" s="72">
        <v>0</v>
      </c>
      <c r="H105" s="72">
        <v>0</v>
      </c>
    </row>
    <row r="106" spans="2:8" ht="12">
      <c r="B106" s="64">
        <v>100</v>
      </c>
      <c r="C106" s="64" t="s">
        <v>2080</v>
      </c>
      <c r="D106" s="66" t="s">
        <v>2081</v>
      </c>
      <c r="E106" s="71">
        <v>0</v>
      </c>
      <c r="F106" s="71">
        <v>0</v>
      </c>
      <c r="G106" s="72">
        <v>0</v>
      </c>
      <c r="H106" s="72">
        <v>0</v>
      </c>
    </row>
    <row r="107" spans="2:8" ht="12">
      <c r="B107" s="64">
        <v>101</v>
      </c>
      <c r="C107" s="64" t="s">
        <v>2082</v>
      </c>
      <c r="D107" s="66" t="s">
        <v>2083</v>
      </c>
      <c r="E107" s="71">
        <v>0</v>
      </c>
      <c r="F107" s="71">
        <v>0</v>
      </c>
      <c r="G107" s="72">
        <v>0</v>
      </c>
      <c r="H107" s="72">
        <v>0</v>
      </c>
    </row>
    <row r="108" spans="2:8" ht="12">
      <c r="B108" s="64">
        <v>102</v>
      </c>
      <c r="C108" s="64" t="s">
        <v>675</v>
      </c>
      <c r="D108" s="66" t="s">
        <v>676</v>
      </c>
      <c r="E108" s="71">
        <v>0</v>
      </c>
      <c r="F108" s="71">
        <v>0</v>
      </c>
      <c r="G108" s="72">
        <v>0</v>
      </c>
      <c r="H108" s="72">
        <v>0</v>
      </c>
    </row>
    <row r="109" spans="2:8" ht="12">
      <c r="B109" s="64">
        <v>103</v>
      </c>
      <c r="C109" s="64" t="s">
        <v>2084</v>
      </c>
      <c r="D109" s="66" t="s">
        <v>2085</v>
      </c>
      <c r="E109" s="71">
        <v>0</v>
      </c>
      <c r="F109" s="71">
        <v>0</v>
      </c>
      <c r="G109" s="72">
        <v>0</v>
      </c>
      <c r="H109" s="72">
        <v>0</v>
      </c>
    </row>
    <row r="110" spans="2:8" ht="12">
      <c r="B110" s="64">
        <v>104</v>
      </c>
      <c r="C110" s="64" t="s">
        <v>677</v>
      </c>
      <c r="D110" s="66" t="s">
        <v>678</v>
      </c>
      <c r="E110" s="71">
        <v>0</v>
      </c>
      <c r="F110" s="71">
        <v>0</v>
      </c>
      <c r="G110" s="72">
        <v>0</v>
      </c>
      <c r="H110" s="72">
        <v>0</v>
      </c>
    </row>
    <row r="111" spans="2:8" ht="12">
      <c r="B111" s="64">
        <v>105</v>
      </c>
      <c r="C111" s="64" t="s">
        <v>679</v>
      </c>
      <c r="D111" s="66" t="s">
        <v>680</v>
      </c>
      <c r="E111" s="71">
        <v>0</v>
      </c>
      <c r="F111" s="71">
        <v>0</v>
      </c>
      <c r="G111" s="72">
        <v>0</v>
      </c>
      <c r="H111" s="72">
        <v>0</v>
      </c>
    </row>
    <row r="112" spans="2:8" ht="12">
      <c r="B112" s="64">
        <v>106</v>
      </c>
      <c r="C112" s="64" t="s">
        <v>681</v>
      </c>
      <c r="D112" s="66" t="s">
        <v>2086</v>
      </c>
      <c r="E112" s="71">
        <v>0</v>
      </c>
      <c r="F112" s="71">
        <v>0</v>
      </c>
      <c r="G112" s="72">
        <v>0</v>
      </c>
      <c r="H112" s="72">
        <v>0</v>
      </c>
    </row>
    <row r="113" spans="2:8" ht="12">
      <c r="B113" s="64">
        <v>107</v>
      </c>
      <c r="C113" s="64" t="s">
        <v>682</v>
      </c>
      <c r="D113" s="66" t="s">
        <v>2087</v>
      </c>
      <c r="E113" s="71">
        <v>0</v>
      </c>
      <c r="F113" s="71">
        <v>0</v>
      </c>
      <c r="G113" s="72">
        <v>0</v>
      </c>
      <c r="H113" s="72">
        <v>0</v>
      </c>
    </row>
    <row r="114" spans="2:8" ht="12">
      <c r="B114" s="64">
        <v>108</v>
      </c>
      <c r="C114" s="64" t="s">
        <v>683</v>
      </c>
      <c r="D114" s="66" t="s">
        <v>2088</v>
      </c>
      <c r="E114" s="71">
        <v>0</v>
      </c>
      <c r="F114" s="71">
        <v>0</v>
      </c>
      <c r="G114" s="72">
        <v>0</v>
      </c>
      <c r="H114" s="72">
        <v>0</v>
      </c>
    </row>
    <row r="115" spans="2:8" ht="12">
      <c r="B115" s="64">
        <v>109</v>
      </c>
      <c r="C115" s="64" t="s">
        <v>1317</v>
      </c>
      <c r="D115" s="66" t="s">
        <v>684</v>
      </c>
      <c r="E115" s="71">
        <v>0</v>
      </c>
      <c r="F115" s="71">
        <v>0</v>
      </c>
      <c r="G115" s="72">
        <v>0</v>
      </c>
      <c r="H115" s="72">
        <v>0</v>
      </c>
    </row>
    <row r="116" spans="2:8" ht="12">
      <c r="B116" s="64">
        <v>110</v>
      </c>
      <c r="C116" s="64" t="s">
        <v>379</v>
      </c>
      <c r="D116" s="66" t="s">
        <v>1887</v>
      </c>
      <c r="E116" s="71">
        <v>0</v>
      </c>
      <c r="F116" s="71">
        <v>0</v>
      </c>
      <c r="G116" s="72">
        <v>0</v>
      </c>
      <c r="H116" s="72">
        <v>0</v>
      </c>
    </row>
    <row r="117" spans="2:8" ht="12">
      <c r="B117" s="64">
        <v>111</v>
      </c>
      <c r="C117" s="64" t="s">
        <v>2089</v>
      </c>
      <c r="D117" s="66" t="s">
        <v>2090</v>
      </c>
      <c r="E117" s="71">
        <v>0</v>
      </c>
      <c r="F117" s="71">
        <v>0</v>
      </c>
      <c r="G117" s="72">
        <v>0</v>
      </c>
      <c r="H117" s="72">
        <v>0</v>
      </c>
    </row>
    <row r="118" spans="2:8" ht="12">
      <c r="B118" s="64">
        <v>112</v>
      </c>
      <c r="C118" s="64" t="s">
        <v>2091</v>
      </c>
      <c r="D118" s="66" t="s">
        <v>685</v>
      </c>
      <c r="E118" s="71">
        <v>0</v>
      </c>
      <c r="F118" s="71">
        <v>0</v>
      </c>
      <c r="G118" s="72">
        <v>0</v>
      </c>
      <c r="H118" s="72">
        <v>0</v>
      </c>
    </row>
    <row r="119" spans="2:8" ht="12">
      <c r="B119" s="64">
        <v>113</v>
      </c>
      <c r="C119" s="64" t="s">
        <v>2092</v>
      </c>
      <c r="D119" s="66" t="s">
        <v>2093</v>
      </c>
      <c r="E119" s="71">
        <v>0</v>
      </c>
      <c r="F119" s="71">
        <v>0</v>
      </c>
      <c r="G119" s="72">
        <v>0</v>
      </c>
      <c r="H119" s="72">
        <v>0</v>
      </c>
    </row>
    <row r="120" spans="2:8" ht="12">
      <c r="B120" s="64">
        <v>114</v>
      </c>
      <c r="C120" s="64" t="s">
        <v>2094</v>
      </c>
      <c r="D120" s="66" t="s">
        <v>1580</v>
      </c>
      <c r="E120" s="71">
        <v>0</v>
      </c>
      <c r="F120" s="71">
        <v>0</v>
      </c>
      <c r="G120" s="72">
        <v>0</v>
      </c>
      <c r="H120" s="72">
        <v>0</v>
      </c>
    </row>
    <row r="121" spans="2:8" ht="12">
      <c r="B121" s="64">
        <v>115</v>
      </c>
      <c r="C121" s="64" t="s">
        <v>2095</v>
      </c>
      <c r="D121" s="66" t="s">
        <v>686</v>
      </c>
      <c r="E121" s="71">
        <v>0</v>
      </c>
      <c r="F121" s="71">
        <v>0</v>
      </c>
      <c r="G121" s="72">
        <v>0</v>
      </c>
      <c r="H121" s="72">
        <v>0</v>
      </c>
    </row>
    <row r="122" spans="2:8" ht="12">
      <c r="B122" s="64">
        <v>116</v>
      </c>
      <c r="C122" s="64" t="s">
        <v>687</v>
      </c>
      <c r="D122" s="66" t="s">
        <v>688</v>
      </c>
      <c r="E122" s="71">
        <v>0</v>
      </c>
      <c r="F122" s="71">
        <v>0</v>
      </c>
      <c r="G122" s="72">
        <v>0</v>
      </c>
      <c r="H122" s="72">
        <v>0</v>
      </c>
    </row>
    <row r="123" spans="2:8" ht="12">
      <c r="B123" s="64">
        <v>117</v>
      </c>
      <c r="C123" s="64" t="s">
        <v>689</v>
      </c>
      <c r="D123" s="66" t="s">
        <v>690</v>
      </c>
      <c r="E123" s="71">
        <v>0</v>
      </c>
      <c r="F123" s="71">
        <v>0</v>
      </c>
      <c r="G123" s="72">
        <v>0</v>
      </c>
      <c r="H123" s="72">
        <v>0</v>
      </c>
    </row>
    <row r="124" spans="2:8" ht="12">
      <c r="B124" s="64">
        <v>118</v>
      </c>
      <c r="C124" s="64" t="s">
        <v>2096</v>
      </c>
      <c r="D124" s="66" t="s">
        <v>2097</v>
      </c>
      <c r="E124" s="71">
        <v>0</v>
      </c>
      <c r="F124" s="71">
        <v>0</v>
      </c>
      <c r="G124" s="72">
        <v>0</v>
      </c>
      <c r="H124" s="72">
        <v>0</v>
      </c>
    </row>
    <row r="125" spans="2:8" ht="12">
      <c r="B125" s="64">
        <v>119</v>
      </c>
      <c r="C125" s="64" t="s">
        <v>691</v>
      </c>
      <c r="D125" s="66" t="s">
        <v>692</v>
      </c>
      <c r="E125" s="71">
        <v>0</v>
      </c>
      <c r="F125" s="71">
        <v>0</v>
      </c>
      <c r="G125" s="72">
        <v>0</v>
      </c>
      <c r="H125" s="72">
        <v>0</v>
      </c>
    </row>
    <row r="126" spans="2:8" ht="12">
      <c r="B126" s="64">
        <v>120</v>
      </c>
      <c r="C126" s="64" t="s">
        <v>693</v>
      </c>
      <c r="D126" s="66" t="s">
        <v>694</v>
      </c>
      <c r="E126" s="71">
        <v>0</v>
      </c>
      <c r="F126" s="71">
        <v>0</v>
      </c>
      <c r="G126" s="72">
        <v>0</v>
      </c>
      <c r="H126" s="72">
        <v>0</v>
      </c>
    </row>
    <row r="127" spans="2:8" ht="12">
      <c r="B127" s="64">
        <v>121</v>
      </c>
      <c r="C127" s="64" t="s">
        <v>2098</v>
      </c>
      <c r="D127" s="66" t="s">
        <v>2099</v>
      </c>
      <c r="E127" s="71">
        <v>0</v>
      </c>
      <c r="F127" s="71">
        <v>0</v>
      </c>
      <c r="G127" s="72">
        <v>0</v>
      </c>
      <c r="H127" s="72">
        <v>0</v>
      </c>
    </row>
    <row r="128" spans="2:8" ht="12">
      <c r="B128" s="64">
        <v>122</v>
      </c>
      <c r="C128" s="64" t="s">
        <v>2100</v>
      </c>
      <c r="D128" s="66" t="s">
        <v>695</v>
      </c>
      <c r="E128" s="71">
        <v>0</v>
      </c>
      <c r="F128" s="71">
        <v>0</v>
      </c>
      <c r="G128" s="72">
        <v>0</v>
      </c>
      <c r="H128" s="72">
        <v>0</v>
      </c>
    </row>
    <row r="129" spans="2:8" ht="12">
      <c r="B129" s="64">
        <v>123</v>
      </c>
      <c r="C129" s="64" t="s">
        <v>2101</v>
      </c>
      <c r="D129" s="66" t="s">
        <v>399</v>
      </c>
      <c r="E129" s="71">
        <v>0</v>
      </c>
      <c r="F129" s="71">
        <v>0</v>
      </c>
      <c r="G129" s="72">
        <v>0</v>
      </c>
      <c r="H129" s="72">
        <v>0</v>
      </c>
    </row>
    <row r="130" spans="2:8" ht="12">
      <c r="B130" s="64">
        <v>124</v>
      </c>
      <c r="C130" s="64" t="s">
        <v>2102</v>
      </c>
      <c r="D130" s="66" t="s">
        <v>2103</v>
      </c>
      <c r="E130" s="71">
        <v>0</v>
      </c>
      <c r="F130" s="71">
        <v>0</v>
      </c>
      <c r="G130" s="72">
        <v>0</v>
      </c>
      <c r="H130" s="72">
        <v>0</v>
      </c>
    </row>
    <row r="131" spans="2:8" ht="12">
      <c r="B131" s="64">
        <v>125</v>
      </c>
      <c r="C131" s="64" t="s">
        <v>2104</v>
      </c>
      <c r="D131" s="66" t="s">
        <v>403</v>
      </c>
      <c r="E131" s="71">
        <v>0</v>
      </c>
      <c r="F131" s="71">
        <v>0</v>
      </c>
      <c r="G131" s="72">
        <v>0</v>
      </c>
      <c r="H131" s="72">
        <v>0</v>
      </c>
    </row>
    <row r="132" spans="2:8" ht="12">
      <c r="B132" s="64">
        <v>126</v>
      </c>
      <c r="C132" s="64" t="s">
        <v>1662</v>
      </c>
      <c r="D132" s="66" t="s">
        <v>696</v>
      </c>
      <c r="E132" s="71">
        <v>0</v>
      </c>
      <c r="F132" s="71">
        <v>0</v>
      </c>
      <c r="G132" s="72">
        <v>0</v>
      </c>
      <c r="H132" s="72">
        <v>0</v>
      </c>
    </row>
    <row r="133" spans="2:8" ht="12">
      <c r="B133" s="64">
        <v>127</v>
      </c>
      <c r="C133" s="64" t="s">
        <v>697</v>
      </c>
      <c r="D133" s="66" t="s">
        <v>698</v>
      </c>
      <c r="E133" s="71">
        <v>0</v>
      </c>
      <c r="F133" s="71">
        <v>0</v>
      </c>
      <c r="G133" s="72">
        <v>0</v>
      </c>
      <c r="H133" s="72">
        <v>0</v>
      </c>
    </row>
    <row r="134" spans="2:8" ht="12">
      <c r="B134" s="64">
        <v>128</v>
      </c>
      <c r="C134" s="64" t="s">
        <v>699</v>
      </c>
      <c r="D134" s="66" t="s">
        <v>2105</v>
      </c>
      <c r="E134" s="71">
        <v>0</v>
      </c>
      <c r="F134" s="71">
        <v>0</v>
      </c>
      <c r="G134" s="72">
        <v>0</v>
      </c>
      <c r="H134" s="72">
        <v>0</v>
      </c>
    </row>
    <row r="135" spans="2:8" ht="12">
      <c r="B135" s="64">
        <v>129</v>
      </c>
      <c r="C135" s="64" t="s">
        <v>700</v>
      </c>
      <c r="D135" s="66" t="s">
        <v>2106</v>
      </c>
      <c r="E135" s="71">
        <v>0</v>
      </c>
      <c r="F135" s="71">
        <v>0</v>
      </c>
      <c r="G135" s="72">
        <v>0</v>
      </c>
      <c r="H135" s="72">
        <v>0</v>
      </c>
    </row>
    <row r="136" spans="2:8" ht="12">
      <c r="B136" s="64">
        <v>130</v>
      </c>
      <c r="C136" s="64" t="s">
        <v>2107</v>
      </c>
      <c r="D136" s="66" t="s">
        <v>2108</v>
      </c>
      <c r="E136" s="71">
        <v>0</v>
      </c>
      <c r="F136" s="71">
        <v>0</v>
      </c>
      <c r="G136" s="72">
        <v>0</v>
      </c>
      <c r="H136" s="72">
        <v>0</v>
      </c>
    </row>
    <row r="137" spans="2:8" ht="12">
      <c r="B137" s="64">
        <v>131</v>
      </c>
      <c r="C137" s="64" t="s">
        <v>701</v>
      </c>
      <c r="D137" s="66" t="s">
        <v>702</v>
      </c>
      <c r="E137" s="71">
        <v>0</v>
      </c>
      <c r="F137" s="71">
        <v>0</v>
      </c>
      <c r="G137" s="72">
        <v>0</v>
      </c>
      <c r="H137" s="72">
        <v>0</v>
      </c>
    </row>
    <row r="138" spans="2:8" ht="12">
      <c r="B138" s="64">
        <v>132</v>
      </c>
      <c r="C138" s="64" t="s">
        <v>2109</v>
      </c>
      <c r="D138" s="66" t="s">
        <v>2110</v>
      </c>
      <c r="E138" s="71">
        <v>0</v>
      </c>
      <c r="F138" s="71">
        <v>0</v>
      </c>
      <c r="G138" s="72">
        <v>0</v>
      </c>
      <c r="H138" s="72">
        <v>0</v>
      </c>
    </row>
    <row r="139" spans="2:8" ht="12">
      <c r="B139" s="64">
        <v>133</v>
      </c>
      <c r="C139" s="64" t="s">
        <v>2111</v>
      </c>
      <c r="D139" s="66" t="s">
        <v>1318</v>
      </c>
      <c r="E139" s="71">
        <v>0</v>
      </c>
      <c r="F139" s="71">
        <v>0</v>
      </c>
      <c r="G139" s="72">
        <v>0</v>
      </c>
      <c r="H139" s="72">
        <v>0</v>
      </c>
    </row>
    <row r="140" spans="2:8" ht="12">
      <c r="B140" s="64">
        <v>134</v>
      </c>
      <c r="C140" s="64" t="s">
        <v>1704</v>
      </c>
      <c r="D140" s="66" t="s">
        <v>703</v>
      </c>
      <c r="E140" s="71">
        <v>0</v>
      </c>
      <c r="F140" s="71">
        <v>0</v>
      </c>
      <c r="G140" s="72">
        <v>0</v>
      </c>
      <c r="H140" s="72">
        <v>0</v>
      </c>
    </row>
    <row r="141" spans="2:8" ht="12">
      <c r="B141" s="64">
        <v>135</v>
      </c>
      <c r="C141" s="64" t="s">
        <v>704</v>
      </c>
      <c r="D141" s="66" t="s">
        <v>2112</v>
      </c>
      <c r="E141" s="71">
        <v>0</v>
      </c>
      <c r="F141" s="71">
        <v>0</v>
      </c>
      <c r="G141" s="72">
        <v>0</v>
      </c>
      <c r="H141" s="72">
        <v>0</v>
      </c>
    </row>
    <row r="142" spans="2:8" ht="12">
      <c r="B142" s="64">
        <v>136</v>
      </c>
      <c r="C142" s="64" t="s">
        <v>705</v>
      </c>
      <c r="D142" s="66" t="s">
        <v>706</v>
      </c>
      <c r="E142" s="71">
        <v>0</v>
      </c>
      <c r="F142" s="71">
        <v>0</v>
      </c>
      <c r="G142" s="72">
        <v>0</v>
      </c>
      <c r="H142" s="72">
        <v>0</v>
      </c>
    </row>
    <row r="143" spans="2:8" ht="12">
      <c r="B143" s="64">
        <v>137</v>
      </c>
      <c r="C143" s="64" t="s">
        <v>707</v>
      </c>
      <c r="D143" s="66" t="s">
        <v>708</v>
      </c>
      <c r="E143" s="71">
        <v>0</v>
      </c>
      <c r="F143" s="71">
        <v>0</v>
      </c>
      <c r="G143" s="72">
        <v>0</v>
      </c>
      <c r="H143" s="72">
        <v>0</v>
      </c>
    </row>
    <row r="144" spans="2:8" ht="12">
      <c r="B144" s="64">
        <v>138</v>
      </c>
      <c r="C144" s="64" t="s">
        <v>2113</v>
      </c>
      <c r="D144" s="66" t="s">
        <v>2114</v>
      </c>
      <c r="E144" s="71">
        <v>0</v>
      </c>
      <c r="F144" s="71">
        <v>0</v>
      </c>
      <c r="G144" s="72">
        <v>0</v>
      </c>
      <c r="H144" s="72">
        <v>0</v>
      </c>
    </row>
    <row r="145" spans="2:8" ht="12">
      <c r="B145" s="64">
        <v>139</v>
      </c>
      <c r="C145" s="64" t="s">
        <v>709</v>
      </c>
      <c r="D145" s="66" t="s">
        <v>2115</v>
      </c>
      <c r="E145" s="71">
        <v>0</v>
      </c>
      <c r="F145" s="71">
        <v>0</v>
      </c>
      <c r="G145" s="72">
        <v>0</v>
      </c>
      <c r="H145" s="72">
        <v>0</v>
      </c>
    </row>
    <row r="146" spans="2:8" ht="12">
      <c r="B146" s="64">
        <v>140</v>
      </c>
      <c r="C146" s="64" t="s">
        <v>710</v>
      </c>
      <c r="D146" s="66" t="s">
        <v>554</v>
      </c>
      <c r="E146" s="71">
        <v>0</v>
      </c>
      <c r="F146" s="71">
        <v>0</v>
      </c>
      <c r="G146" s="72">
        <v>0</v>
      </c>
      <c r="H146" s="72">
        <v>0</v>
      </c>
    </row>
    <row r="147" spans="2:8" ht="12">
      <c r="B147" s="64">
        <v>141</v>
      </c>
      <c r="C147" s="64" t="s">
        <v>711</v>
      </c>
      <c r="D147" s="66" t="s">
        <v>2116</v>
      </c>
      <c r="E147" s="71">
        <v>0</v>
      </c>
      <c r="F147" s="71">
        <v>0</v>
      </c>
      <c r="G147" s="72">
        <v>0</v>
      </c>
      <c r="H147" s="72">
        <v>0</v>
      </c>
    </row>
    <row r="148" spans="2:8" ht="12">
      <c r="B148" s="64">
        <v>142</v>
      </c>
      <c r="C148" s="64" t="s">
        <v>712</v>
      </c>
      <c r="D148" s="66" t="s">
        <v>436</v>
      </c>
      <c r="E148" s="71">
        <v>0</v>
      </c>
      <c r="F148" s="71">
        <v>0</v>
      </c>
      <c r="G148" s="72">
        <v>0</v>
      </c>
      <c r="H148" s="72">
        <v>0</v>
      </c>
    </row>
    <row r="149" spans="2:8" ht="12">
      <c r="B149" s="64">
        <v>143</v>
      </c>
      <c r="C149" s="64" t="s">
        <v>713</v>
      </c>
      <c r="D149" s="66" t="s">
        <v>2117</v>
      </c>
      <c r="E149" s="71">
        <v>0</v>
      </c>
      <c r="F149" s="71">
        <v>0</v>
      </c>
      <c r="G149" s="72">
        <v>0</v>
      </c>
      <c r="H149" s="72">
        <v>0</v>
      </c>
    </row>
    <row r="150" spans="2:8" ht="12">
      <c r="B150" s="64">
        <v>144</v>
      </c>
      <c r="C150" s="64" t="s">
        <v>1515</v>
      </c>
      <c r="D150" s="66" t="s">
        <v>714</v>
      </c>
      <c r="E150" s="71">
        <v>0</v>
      </c>
      <c r="F150" s="71">
        <v>0</v>
      </c>
      <c r="G150" s="72">
        <v>0</v>
      </c>
      <c r="H150" s="72">
        <v>0</v>
      </c>
    </row>
    <row r="151" spans="2:8" ht="12">
      <c r="B151" s="64">
        <v>145</v>
      </c>
      <c r="C151" s="64" t="s">
        <v>2118</v>
      </c>
      <c r="D151" s="66" t="s">
        <v>555</v>
      </c>
      <c r="E151" s="71">
        <v>0</v>
      </c>
      <c r="F151" s="71">
        <v>0</v>
      </c>
      <c r="G151" s="72">
        <v>0</v>
      </c>
      <c r="H151" s="72">
        <v>0</v>
      </c>
    </row>
    <row r="152" spans="2:8" ht="12">
      <c r="B152" s="64">
        <v>146</v>
      </c>
      <c r="C152" s="64" t="s">
        <v>1319</v>
      </c>
      <c r="D152" s="66" t="s">
        <v>715</v>
      </c>
      <c r="E152" s="71">
        <v>0</v>
      </c>
      <c r="F152" s="71">
        <v>0</v>
      </c>
      <c r="G152" s="72">
        <v>0</v>
      </c>
      <c r="H152" s="72">
        <v>0</v>
      </c>
    </row>
    <row r="153" spans="2:8" ht="12">
      <c r="B153" s="64">
        <v>147</v>
      </c>
      <c r="C153" s="64" t="s">
        <v>2119</v>
      </c>
      <c r="D153" s="66" t="s">
        <v>2120</v>
      </c>
      <c r="E153" s="71">
        <v>0</v>
      </c>
      <c r="F153" s="71">
        <v>0</v>
      </c>
      <c r="G153" s="72">
        <v>0</v>
      </c>
      <c r="H153" s="72">
        <v>0</v>
      </c>
    </row>
    <row r="154" spans="2:8" ht="12">
      <c r="B154" s="64">
        <v>148</v>
      </c>
      <c r="C154" s="64" t="s">
        <v>716</v>
      </c>
      <c r="D154" s="66" t="s">
        <v>2121</v>
      </c>
      <c r="E154" s="71">
        <v>0</v>
      </c>
      <c r="F154" s="71">
        <v>0</v>
      </c>
      <c r="G154" s="72">
        <v>0</v>
      </c>
      <c r="H154" s="72">
        <v>0</v>
      </c>
    </row>
    <row r="155" spans="2:8" ht="12">
      <c r="B155" s="64">
        <v>149</v>
      </c>
      <c r="C155" s="64" t="s">
        <v>2122</v>
      </c>
      <c r="D155" s="66" t="s">
        <v>2123</v>
      </c>
      <c r="E155" s="71">
        <v>0</v>
      </c>
      <c r="F155" s="71">
        <v>0</v>
      </c>
      <c r="G155" s="72">
        <v>0</v>
      </c>
      <c r="H155" s="72">
        <v>0</v>
      </c>
    </row>
    <row r="156" spans="2:8" ht="12">
      <c r="B156" s="64">
        <v>150</v>
      </c>
      <c r="C156" s="64" t="s">
        <v>2124</v>
      </c>
      <c r="D156" s="66" t="s">
        <v>2125</v>
      </c>
      <c r="E156" s="71">
        <v>0</v>
      </c>
      <c r="F156" s="71">
        <v>0</v>
      </c>
      <c r="G156" s="72">
        <v>0</v>
      </c>
      <c r="H156" s="72">
        <v>0</v>
      </c>
    </row>
    <row r="157" spans="2:8" ht="12">
      <c r="B157" s="64">
        <v>151</v>
      </c>
      <c r="C157" s="64" t="s">
        <v>717</v>
      </c>
      <c r="D157" s="66" t="s">
        <v>556</v>
      </c>
      <c r="E157" s="71">
        <v>0</v>
      </c>
      <c r="F157" s="71">
        <v>0</v>
      </c>
      <c r="G157" s="72">
        <v>0</v>
      </c>
      <c r="H157" s="72">
        <v>0</v>
      </c>
    </row>
    <row r="158" spans="2:8" ht="12">
      <c r="B158" s="64">
        <v>152</v>
      </c>
      <c r="C158" s="64" t="s">
        <v>718</v>
      </c>
      <c r="D158" s="66" t="s">
        <v>719</v>
      </c>
      <c r="E158" s="71">
        <v>0</v>
      </c>
      <c r="F158" s="71">
        <v>0</v>
      </c>
      <c r="G158" s="72">
        <v>0</v>
      </c>
      <c r="H158" s="72">
        <v>0</v>
      </c>
    </row>
    <row r="159" spans="2:8" ht="12">
      <c r="B159" s="64">
        <v>153</v>
      </c>
      <c r="C159" s="64" t="s">
        <v>2126</v>
      </c>
      <c r="D159" s="66" t="s">
        <v>2127</v>
      </c>
      <c r="E159" s="71">
        <v>0</v>
      </c>
      <c r="F159" s="71">
        <v>0</v>
      </c>
      <c r="G159" s="72">
        <v>0</v>
      </c>
      <c r="H159" s="72">
        <v>0</v>
      </c>
    </row>
    <row r="160" spans="2:8" ht="12">
      <c r="B160" s="64">
        <v>154</v>
      </c>
      <c r="C160" s="64" t="s">
        <v>720</v>
      </c>
      <c r="D160" s="66" t="s">
        <v>2128</v>
      </c>
      <c r="E160" s="71">
        <v>0</v>
      </c>
      <c r="F160" s="71">
        <v>0</v>
      </c>
      <c r="G160" s="72">
        <v>0</v>
      </c>
      <c r="H160" s="72">
        <v>0</v>
      </c>
    </row>
    <row r="161" spans="2:8" ht="12">
      <c r="B161" s="64">
        <v>155</v>
      </c>
      <c r="C161" s="64" t="s">
        <v>1705</v>
      </c>
      <c r="D161" s="66" t="s">
        <v>2129</v>
      </c>
      <c r="E161" s="71">
        <v>0</v>
      </c>
      <c r="F161" s="71">
        <v>0</v>
      </c>
      <c r="G161" s="72">
        <v>0</v>
      </c>
      <c r="H161" s="72">
        <v>0</v>
      </c>
    </row>
    <row r="162" spans="2:8" ht="12">
      <c r="B162" s="64">
        <v>156</v>
      </c>
      <c r="C162" s="64" t="s">
        <v>557</v>
      </c>
      <c r="D162" s="66" t="s">
        <v>721</v>
      </c>
      <c r="E162" s="71">
        <v>0</v>
      </c>
      <c r="F162" s="71">
        <v>0</v>
      </c>
      <c r="G162" s="72">
        <v>0</v>
      </c>
      <c r="H162" s="72">
        <v>0</v>
      </c>
    </row>
    <row r="163" spans="2:8" ht="12">
      <c r="B163" s="64">
        <v>157</v>
      </c>
      <c r="C163" s="64" t="s">
        <v>2130</v>
      </c>
      <c r="D163" s="66" t="s">
        <v>722</v>
      </c>
      <c r="E163" s="71">
        <v>0</v>
      </c>
      <c r="F163" s="71">
        <v>0</v>
      </c>
      <c r="G163" s="72">
        <v>0</v>
      </c>
      <c r="H163" s="72">
        <v>0</v>
      </c>
    </row>
    <row r="164" spans="2:8" ht="12">
      <c r="B164" s="64">
        <v>158</v>
      </c>
      <c r="C164" s="64" t="s">
        <v>2131</v>
      </c>
      <c r="D164" s="66" t="s">
        <v>2132</v>
      </c>
      <c r="E164" s="71">
        <v>0</v>
      </c>
      <c r="F164" s="71">
        <v>0</v>
      </c>
      <c r="G164" s="72">
        <v>0</v>
      </c>
      <c r="H164" s="72">
        <v>0</v>
      </c>
    </row>
    <row r="165" spans="2:8" ht="12">
      <c r="B165" s="64">
        <v>159</v>
      </c>
      <c r="C165" s="64" t="s">
        <v>723</v>
      </c>
      <c r="D165" s="66" t="s">
        <v>2133</v>
      </c>
      <c r="E165" s="71">
        <v>0</v>
      </c>
      <c r="F165" s="71">
        <v>0</v>
      </c>
      <c r="G165" s="72">
        <v>0</v>
      </c>
      <c r="H165" s="72">
        <v>0</v>
      </c>
    </row>
    <row r="166" spans="2:8" ht="12">
      <c r="B166" s="64">
        <v>160</v>
      </c>
      <c r="C166" s="64" t="s">
        <v>724</v>
      </c>
      <c r="D166" s="66" t="s">
        <v>2134</v>
      </c>
      <c r="E166" s="71">
        <v>0</v>
      </c>
      <c r="F166" s="71">
        <v>0</v>
      </c>
      <c r="G166" s="72">
        <v>0</v>
      </c>
      <c r="H166" s="72">
        <v>0</v>
      </c>
    </row>
    <row r="167" spans="2:8" ht="12">
      <c r="B167" s="64">
        <v>161</v>
      </c>
      <c r="C167" s="64" t="s">
        <v>2135</v>
      </c>
      <c r="D167" s="66" t="s">
        <v>2136</v>
      </c>
      <c r="E167" s="71">
        <v>0</v>
      </c>
      <c r="F167" s="71">
        <v>0</v>
      </c>
      <c r="G167" s="72">
        <v>0</v>
      </c>
      <c r="H167" s="72">
        <v>0</v>
      </c>
    </row>
    <row r="168" spans="2:8" ht="12">
      <c r="B168" s="64">
        <v>162</v>
      </c>
      <c r="C168" s="64" t="s">
        <v>2137</v>
      </c>
      <c r="D168" s="66" t="s">
        <v>725</v>
      </c>
      <c r="E168" s="71">
        <v>0</v>
      </c>
      <c r="F168" s="71">
        <v>0</v>
      </c>
      <c r="G168" s="72">
        <v>0</v>
      </c>
      <c r="H168" s="72">
        <v>0</v>
      </c>
    </row>
    <row r="169" spans="2:8" ht="12">
      <c r="B169" s="64">
        <v>163</v>
      </c>
      <c r="C169" s="64" t="s">
        <v>558</v>
      </c>
      <c r="D169" s="66" t="s">
        <v>726</v>
      </c>
      <c r="E169" s="71">
        <v>0</v>
      </c>
      <c r="F169" s="71">
        <v>0</v>
      </c>
      <c r="G169" s="72">
        <v>0</v>
      </c>
      <c r="H169" s="72">
        <v>0</v>
      </c>
    </row>
    <row r="170" spans="2:8" ht="12">
      <c r="B170" s="64">
        <v>164</v>
      </c>
      <c r="C170" s="64" t="s">
        <v>727</v>
      </c>
      <c r="D170" s="66" t="s">
        <v>2138</v>
      </c>
      <c r="E170" s="71">
        <v>0</v>
      </c>
      <c r="F170" s="71">
        <v>0</v>
      </c>
      <c r="G170" s="72">
        <v>0</v>
      </c>
      <c r="H170" s="72">
        <v>0</v>
      </c>
    </row>
    <row r="171" spans="2:8" ht="12">
      <c r="B171" s="64">
        <v>165</v>
      </c>
      <c r="C171" s="64" t="s">
        <v>2139</v>
      </c>
      <c r="D171" s="66" t="s">
        <v>2140</v>
      </c>
      <c r="E171" s="71">
        <v>0</v>
      </c>
      <c r="F171" s="71">
        <v>0</v>
      </c>
      <c r="G171" s="72">
        <v>0</v>
      </c>
      <c r="H171" s="72">
        <v>0</v>
      </c>
    </row>
    <row r="172" spans="2:8" ht="12">
      <c r="B172" s="64">
        <v>166</v>
      </c>
      <c r="C172" s="64" t="s">
        <v>2141</v>
      </c>
      <c r="D172" s="66" t="s">
        <v>1663</v>
      </c>
      <c r="E172" s="71">
        <v>0</v>
      </c>
      <c r="F172" s="71">
        <v>0</v>
      </c>
      <c r="G172" s="72">
        <v>0</v>
      </c>
      <c r="H172" s="72">
        <v>0</v>
      </c>
    </row>
    <row r="173" spans="2:8" ht="12">
      <c r="B173" s="64">
        <v>167</v>
      </c>
      <c r="C173" s="64" t="s">
        <v>2142</v>
      </c>
      <c r="D173" s="66" t="s">
        <v>2143</v>
      </c>
      <c r="E173" s="71">
        <v>0</v>
      </c>
      <c r="F173" s="71">
        <v>0</v>
      </c>
      <c r="G173" s="72">
        <v>0</v>
      </c>
      <c r="H173" s="72">
        <v>0</v>
      </c>
    </row>
    <row r="174" spans="2:8" ht="12">
      <c r="B174" s="64">
        <v>168</v>
      </c>
      <c r="C174" s="64" t="s">
        <v>2144</v>
      </c>
      <c r="D174" s="66" t="s">
        <v>728</v>
      </c>
      <c r="E174" s="71">
        <v>0</v>
      </c>
      <c r="F174" s="71">
        <v>0</v>
      </c>
      <c r="G174" s="72">
        <v>0</v>
      </c>
      <c r="H174" s="72">
        <v>0</v>
      </c>
    </row>
    <row r="175" spans="2:8" ht="12">
      <c r="B175" s="64">
        <v>169</v>
      </c>
      <c r="C175" s="64" t="s">
        <v>2145</v>
      </c>
      <c r="D175" s="66" t="s">
        <v>559</v>
      </c>
      <c r="E175" s="71">
        <v>0</v>
      </c>
      <c r="F175" s="71">
        <v>0</v>
      </c>
      <c r="G175" s="72">
        <v>0</v>
      </c>
      <c r="H175" s="72">
        <v>0</v>
      </c>
    </row>
    <row r="176" spans="2:8" ht="12">
      <c r="B176" s="64">
        <v>170</v>
      </c>
      <c r="C176" s="64" t="s">
        <v>729</v>
      </c>
      <c r="D176" s="66" t="s">
        <v>730</v>
      </c>
      <c r="E176" s="71">
        <v>0</v>
      </c>
      <c r="F176" s="71">
        <v>0</v>
      </c>
      <c r="G176" s="72">
        <v>0</v>
      </c>
      <c r="H176" s="72">
        <v>0</v>
      </c>
    </row>
    <row r="177" spans="2:8" ht="12">
      <c r="B177" s="64">
        <v>171</v>
      </c>
      <c r="C177" s="64" t="s">
        <v>1776</v>
      </c>
      <c r="D177" s="66" t="s">
        <v>2146</v>
      </c>
      <c r="E177" s="71">
        <v>0</v>
      </c>
      <c r="F177" s="71">
        <v>0</v>
      </c>
      <c r="G177" s="72">
        <v>0</v>
      </c>
      <c r="H177" s="72">
        <v>0</v>
      </c>
    </row>
    <row r="178" spans="2:8" ht="12">
      <c r="B178" s="64">
        <v>172</v>
      </c>
      <c r="C178" s="64" t="s">
        <v>2147</v>
      </c>
      <c r="D178" s="66" t="s">
        <v>731</v>
      </c>
      <c r="E178" s="71">
        <v>0</v>
      </c>
      <c r="F178" s="71">
        <v>0</v>
      </c>
      <c r="G178" s="72">
        <v>0</v>
      </c>
      <c r="H178" s="72">
        <v>0</v>
      </c>
    </row>
    <row r="179" spans="2:8" ht="12">
      <c r="B179" s="64">
        <v>173</v>
      </c>
      <c r="C179" s="64" t="s">
        <v>1320</v>
      </c>
      <c r="D179" s="66" t="s">
        <v>732</v>
      </c>
      <c r="E179" s="71">
        <v>0</v>
      </c>
      <c r="F179" s="71">
        <v>0</v>
      </c>
      <c r="G179" s="72">
        <v>0</v>
      </c>
      <c r="H179" s="72">
        <v>0</v>
      </c>
    </row>
    <row r="180" spans="2:8" ht="12">
      <c r="B180" s="64">
        <v>174</v>
      </c>
      <c r="C180" s="64" t="s">
        <v>1581</v>
      </c>
      <c r="D180" s="66" t="s">
        <v>733</v>
      </c>
      <c r="E180" s="71">
        <v>0</v>
      </c>
      <c r="F180" s="71">
        <v>0</v>
      </c>
      <c r="G180" s="72">
        <v>0</v>
      </c>
      <c r="H180" s="72">
        <v>0</v>
      </c>
    </row>
    <row r="181" spans="2:8" ht="12">
      <c r="B181" s="64">
        <v>175</v>
      </c>
      <c r="C181" s="64" t="s">
        <v>2148</v>
      </c>
      <c r="D181" s="66" t="s">
        <v>2149</v>
      </c>
      <c r="E181" s="71">
        <v>0</v>
      </c>
      <c r="F181" s="71">
        <v>0</v>
      </c>
      <c r="G181" s="72">
        <v>0</v>
      </c>
      <c r="H181" s="72">
        <v>0</v>
      </c>
    </row>
    <row r="182" spans="2:8" ht="12">
      <c r="B182" s="64">
        <v>176</v>
      </c>
      <c r="C182" s="64" t="s">
        <v>734</v>
      </c>
      <c r="D182" s="66" t="s">
        <v>2150</v>
      </c>
      <c r="E182" s="71">
        <v>0</v>
      </c>
      <c r="F182" s="71">
        <v>0</v>
      </c>
      <c r="G182" s="72">
        <v>0</v>
      </c>
      <c r="H182" s="72">
        <v>0</v>
      </c>
    </row>
    <row r="183" spans="2:8" ht="12">
      <c r="B183" s="64">
        <v>177</v>
      </c>
      <c r="C183" s="64" t="s">
        <v>735</v>
      </c>
      <c r="D183" s="66" t="s">
        <v>2151</v>
      </c>
      <c r="E183" s="71">
        <v>0</v>
      </c>
      <c r="F183" s="71">
        <v>0</v>
      </c>
      <c r="G183" s="72">
        <v>0</v>
      </c>
      <c r="H183" s="72">
        <v>0</v>
      </c>
    </row>
    <row r="184" spans="2:8" ht="12">
      <c r="B184" s="64">
        <v>178</v>
      </c>
      <c r="C184" s="64" t="s">
        <v>1582</v>
      </c>
      <c r="D184" s="66" t="s">
        <v>736</v>
      </c>
      <c r="E184" s="71">
        <v>0</v>
      </c>
      <c r="F184" s="71">
        <v>0</v>
      </c>
      <c r="G184" s="72">
        <v>0</v>
      </c>
      <c r="H184" s="72">
        <v>0</v>
      </c>
    </row>
    <row r="185" spans="2:8" ht="12">
      <c r="B185" s="64">
        <v>179</v>
      </c>
      <c r="C185" s="64" t="s">
        <v>737</v>
      </c>
      <c r="D185" s="66" t="s">
        <v>2152</v>
      </c>
      <c r="E185" s="71">
        <v>0</v>
      </c>
      <c r="F185" s="71">
        <v>0</v>
      </c>
      <c r="G185" s="72">
        <v>0</v>
      </c>
      <c r="H185" s="72">
        <v>0</v>
      </c>
    </row>
    <row r="186" spans="2:8" ht="12">
      <c r="B186" s="64">
        <v>180</v>
      </c>
      <c r="C186" s="64" t="s">
        <v>738</v>
      </c>
      <c r="D186" s="66" t="s">
        <v>2153</v>
      </c>
      <c r="E186" s="71">
        <v>0</v>
      </c>
      <c r="F186" s="71">
        <v>0</v>
      </c>
      <c r="G186" s="72">
        <v>0</v>
      </c>
      <c r="H186" s="72">
        <v>0</v>
      </c>
    </row>
    <row r="187" spans="2:8" ht="12">
      <c r="B187" s="64">
        <v>181</v>
      </c>
      <c r="C187" s="64" t="s">
        <v>2154</v>
      </c>
      <c r="D187" s="66" t="s">
        <v>2155</v>
      </c>
      <c r="E187" s="71">
        <v>0</v>
      </c>
      <c r="F187" s="71">
        <v>0</v>
      </c>
      <c r="G187" s="72">
        <v>0</v>
      </c>
      <c r="H187" s="72">
        <v>0</v>
      </c>
    </row>
    <row r="188" spans="2:8" ht="12">
      <c r="B188" s="64">
        <v>182</v>
      </c>
      <c r="C188" s="64" t="s">
        <v>739</v>
      </c>
      <c r="D188" s="66" t="s">
        <v>2156</v>
      </c>
      <c r="E188" s="71">
        <v>0</v>
      </c>
      <c r="F188" s="71">
        <v>0</v>
      </c>
      <c r="G188" s="72">
        <v>0</v>
      </c>
      <c r="H188" s="72">
        <v>0</v>
      </c>
    </row>
    <row r="189" spans="2:8" ht="12">
      <c r="B189" s="64">
        <v>183</v>
      </c>
      <c r="C189" s="64" t="s">
        <v>2157</v>
      </c>
      <c r="D189" s="66" t="s">
        <v>1516</v>
      </c>
      <c r="E189" s="71">
        <v>0</v>
      </c>
      <c r="F189" s="71">
        <v>0</v>
      </c>
      <c r="G189" s="72">
        <v>0</v>
      </c>
      <c r="H189" s="72">
        <v>0</v>
      </c>
    </row>
    <row r="190" spans="2:8" ht="12">
      <c r="B190" s="64">
        <v>184</v>
      </c>
      <c r="C190" s="64" t="s">
        <v>740</v>
      </c>
      <c r="D190" s="66" t="s">
        <v>2158</v>
      </c>
      <c r="E190" s="71">
        <v>0</v>
      </c>
      <c r="F190" s="71">
        <v>0</v>
      </c>
      <c r="G190" s="72">
        <v>0</v>
      </c>
      <c r="H190" s="72">
        <v>0</v>
      </c>
    </row>
    <row r="191" spans="2:8" ht="12">
      <c r="B191" s="64">
        <v>185</v>
      </c>
      <c r="C191" s="64" t="s">
        <v>2159</v>
      </c>
      <c r="D191" s="66" t="s">
        <v>741</v>
      </c>
      <c r="E191" s="71">
        <v>0</v>
      </c>
      <c r="F191" s="71">
        <v>0</v>
      </c>
      <c r="G191" s="72">
        <v>0</v>
      </c>
      <c r="H191" s="72">
        <v>0</v>
      </c>
    </row>
    <row r="192" spans="2:8" ht="12">
      <c r="B192" s="64">
        <v>186</v>
      </c>
      <c r="C192" s="64" t="s">
        <v>2160</v>
      </c>
      <c r="D192" s="66" t="s">
        <v>742</v>
      </c>
      <c r="E192" s="71">
        <v>0</v>
      </c>
      <c r="F192" s="71">
        <v>0</v>
      </c>
      <c r="G192" s="72">
        <v>0</v>
      </c>
      <c r="H192" s="72">
        <v>0</v>
      </c>
    </row>
    <row r="193" spans="2:8" ht="12">
      <c r="B193" s="64">
        <v>187</v>
      </c>
      <c r="C193" s="64" t="s">
        <v>2161</v>
      </c>
      <c r="D193" s="66" t="s">
        <v>1517</v>
      </c>
      <c r="E193" s="71">
        <v>0</v>
      </c>
      <c r="F193" s="71">
        <v>0</v>
      </c>
      <c r="G193" s="72">
        <v>0</v>
      </c>
      <c r="H193" s="72">
        <v>0</v>
      </c>
    </row>
    <row r="194" spans="2:8" ht="12">
      <c r="B194" s="64">
        <v>188</v>
      </c>
      <c r="C194" s="64" t="s">
        <v>2162</v>
      </c>
      <c r="D194" s="66" t="s">
        <v>560</v>
      </c>
      <c r="E194" s="71">
        <v>0</v>
      </c>
      <c r="F194" s="71">
        <v>0</v>
      </c>
      <c r="G194" s="72">
        <v>0</v>
      </c>
      <c r="H194" s="72">
        <v>0</v>
      </c>
    </row>
    <row r="195" spans="2:8" ht="12">
      <c r="B195" s="64">
        <v>189</v>
      </c>
      <c r="C195" s="64" t="s">
        <v>743</v>
      </c>
      <c r="D195" s="66" t="s">
        <v>2163</v>
      </c>
      <c r="E195" s="71">
        <v>0</v>
      </c>
      <c r="F195" s="71">
        <v>0</v>
      </c>
      <c r="G195" s="72">
        <v>0</v>
      </c>
      <c r="H195" s="72">
        <v>0</v>
      </c>
    </row>
    <row r="196" spans="2:8" ht="12">
      <c r="B196" s="64">
        <v>190</v>
      </c>
      <c r="C196" s="64" t="s">
        <v>744</v>
      </c>
      <c r="D196" s="66" t="s">
        <v>2164</v>
      </c>
      <c r="E196" s="71">
        <v>0</v>
      </c>
      <c r="F196" s="71">
        <v>0</v>
      </c>
      <c r="G196" s="72">
        <v>0</v>
      </c>
      <c r="H196" s="72">
        <v>0</v>
      </c>
    </row>
    <row r="197" spans="2:8" ht="12">
      <c r="B197" s="64">
        <v>191</v>
      </c>
      <c r="C197" s="64" t="s">
        <v>2165</v>
      </c>
      <c r="D197" s="66" t="s">
        <v>1518</v>
      </c>
      <c r="E197" s="71">
        <v>0</v>
      </c>
      <c r="F197" s="71">
        <v>0</v>
      </c>
      <c r="G197" s="72">
        <v>0</v>
      </c>
      <c r="H197" s="72">
        <v>0</v>
      </c>
    </row>
    <row r="198" spans="2:8" ht="12">
      <c r="B198" s="64">
        <v>192</v>
      </c>
      <c r="C198" s="64" t="s">
        <v>2166</v>
      </c>
      <c r="D198" s="66" t="s">
        <v>2167</v>
      </c>
      <c r="E198" s="71">
        <v>0</v>
      </c>
      <c r="F198" s="71">
        <v>0</v>
      </c>
      <c r="G198" s="72">
        <v>0</v>
      </c>
      <c r="H198" s="72">
        <v>0</v>
      </c>
    </row>
    <row r="199" spans="2:8" ht="12">
      <c r="B199" s="64">
        <v>193</v>
      </c>
      <c r="C199" s="64" t="s">
        <v>745</v>
      </c>
      <c r="D199" s="66" t="s">
        <v>2168</v>
      </c>
      <c r="E199" s="71">
        <v>0</v>
      </c>
      <c r="F199" s="71">
        <v>0</v>
      </c>
      <c r="G199" s="72">
        <v>0</v>
      </c>
      <c r="H199" s="72">
        <v>0</v>
      </c>
    </row>
    <row r="200" spans="2:8" ht="12">
      <c r="B200" s="64">
        <v>194</v>
      </c>
      <c r="C200" s="64" t="s">
        <v>746</v>
      </c>
      <c r="D200" s="66" t="s">
        <v>2169</v>
      </c>
      <c r="E200" s="71">
        <v>0</v>
      </c>
      <c r="F200" s="71">
        <v>0</v>
      </c>
      <c r="G200" s="72">
        <v>0</v>
      </c>
      <c r="H200" s="72">
        <v>0</v>
      </c>
    </row>
    <row r="201" spans="2:8" ht="12">
      <c r="B201" s="64">
        <v>195</v>
      </c>
      <c r="C201" s="64" t="s">
        <v>747</v>
      </c>
      <c r="D201" s="66" t="s">
        <v>1321</v>
      </c>
      <c r="E201" s="71">
        <v>0</v>
      </c>
      <c r="F201" s="71">
        <v>0</v>
      </c>
      <c r="G201" s="72">
        <v>0</v>
      </c>
      <c r="H201" s="72">
        <v>0</v>
      </c>
    </row>
    <row r="202" spans="2:8" ht="12">
      <c r="B202" s="64">
        <v>196</v>
      </c>
      <c r="C202" s="64" t="s">
        <v>748</v>
      </c>
      <c r="D202" s="66" t="s">
        <v>749</v>
      </c>
      <c r="E202" s="71">
        <v>0</v>
      </c>
      <c r="F202" s="71">
        <v>0</v>
      </c>
      <c r="G202" s="72">
        <v>0</v>
      </c>
      <c r="H202" s="72">
        <v>0</v>
      </c>
    </row>
    <row r="203" spans="2:8" ht="12">
      <c r="B203" s="64">
        <v>197</v>
      </c>
      <c r="C203" s="64" t="s">
        <v>1322</v>
      </c>
      <c r="D203" s="66" t="s">
        <v>2170</v>
      </c>
      <c r="E203" s="71">
        <v>0</v>
      </c>
      <c r="F203" s="71">
        <v>0</v>
      </c>
      <c r="G203" s="72">
        <v>0</v>
      </c>
      <c r="H203" s="72">
        <v>0</v>
      </c>
    </row>
    <row r="204" spans="2:8" ht="12">
      <c r="B204" s="64">
        <v>198</v>
      </c>
      <c r="C204" s="64" t="s">
        <v>750</v>
      </c>
      <c r="D204" s="66" t="s">
        <v>751</v>
      </c>
      <c r="E204" s="71">
        <v>0</v>
      </c>
      <c r="F204" s="71">
        <v>0</v>
      </c>
      <c r="G204" s="72">
        <v>0</v>
      </c>
      <c r="H204" s="72">
        <v>0</v>
      </c>
    </row>
    <row r="205" spans="2:8" ht="12">
      <c r="B205" s="64">
        <v>199</v>
      </c>
      <c r="C205" s="64" t="s">
        <v>1323</v>
      </c>
      <c r="D205" s="66" t="s">
        <v>561</v>
      </c>
      <c r="E205" s="71">
        <v>0</v>
      </c>
      <c r="F205" s="71">
        <v>0</v>
      </c>
      <c r="G205" s="72">
        <v>0</v>
      </c>
      <c r="H205" s="72">
        <v>0</v>
      </c>
    </row>
    <row r="206" spans="2:8" ht="12">
      <c r="B206" s="64">
        <v>200</v>
      </c>
      <c r="C206" s="64" t="s">
        <v>2171</v>
      </c>
      <c r="D206" s="66" t="s">
        <v>2172</v>
      </c>
      <c r="E206" s="71">
        <v>0</v>
      </c>
      <c r="F206" s="71">
        <v>0</v>
      </c>
      <c r="G206" s="72">
        <v>0</v>
      </c>
      <c r="H206" s="72">
        <v>0</v>
      </c>
    </row>
    <row r="207" spans="2:8" ht="12">
      <c r="B207" s="64">
        <v>201</v>
      </c>
      <c r="C207" s="64" t="s">
        <v>752</v>
      </c>
      <c r="D207" s="66" t="s">
        <v>753</v>
      </c>
      <c r="E207" s="71">
        <v>0</v>
      </c>
      <c r="F207" s="71">
        <v>0</v>
      </c>
      <c r="G207" s="72">
        <v>0</v>
      </c>
      <c r="H207" s="72">
        <v>0</v>
      </c>
    </row>
    <row r="208" spans="2:8" ht="12">
      <c r="B208" s="64">
        <v>202</v>
      </c>
      <c r="C208" s="64" t="s">
        <v>2173</v>
      </c>
      <c r="D208" s="66" t="s">
        <v>754</v>
      </c>
      <c r="E208" s="71">
        <v>0</v>
      </c>
      <c r="F208" s="71">
        <v>0</v>
      </c>
      <c r="G208" s="72">
        <v>0</v>
      </c>
      <c r="H208" s="72">
        <v>0</v>
      </c>
    </row>
    <row r="209" spans="2:8" ht="12">
      <c r="B209" s="64">
        <v>203</v>
      </c>
      <c r="C209" s="64" t="s">
        <v>755</v>
      </c>
      <c r="D209" s="66" t="s">
        <v>756</v>
      </c>
      <c r="E209" s="71">
        <v>0</v>
      </c>
      <c r="F209" s="71">
        <v>0</v>
      </c>
      <c r="G209" s="72">
        <v>0</v>
      </c>
      <c r="H209" s="72">
        <v>0</v>
      </c>
    </row>
    <row r="210" spans="2:8" ht="12">
      <c r="B210" s="64">
        <v>204</v>
      </c>
      <c r="C210" s="64" t="s">
        <v>1777</v>
      </c>
      <c r="D210" s="66" t="s">
        <v>2174</v>
      </c>
      <c r="E210" s="71">
        <v>0</v>
      </c>
      <c r="F210" s="71">
        <v>0</v>
      </c>
      <c r="G210" s="72">
        <v>0</v>
      </c>
      <c r="H210" s="72">
        <v>0</v>
      </c>
    </row>
    <row r="211" spans="2:8" ht="12">
      <c r="B211" s="64">
        <v>205</v>
      </c>
      <c r="C211" s="64" t="s">
        <v>2175</v>
      </c>
      <c r="D211" s="66" t="s">
        <v>2176</v>
      </c>
      <c r="E211" s="71">
        <v>0</v>
      </c>
      <c r="F211" s="71">
        <v>0</v>
      </c>
      <c r="G211" s="72">
        <v>0</v>
      </c>
      <c r="H211" s="72">
        <v>0</v>
      </c>
    </row>
    <row r="212" spans="2:8" ht="12">
      <c r="B212" s="64">
        <v>206</v>
      </c>
      <c r="C212" s="64" t="s">
        <v>1324</v>
      </c>
      <c r="D212" s="66" t="s">
        <v>757</v>
      </c>
      <c r="E212" s="71">
        <v>0</v>
      </c>
      <c r="F212" s="71">
        <v>0</v>
      </c>
      <c r="G212" s="72">
        <v>0</v>
      </c>
      <c r="H212" s="72">
        <v>0</v>
      </c>
    </row>
    <row r="213" spans="2:8" ht="12">
      <c r="B213" s="64">
        <v>207</v>
      </c>
      <c r="C213" s="64" t="s">
        <v>1325</v>
      </c>
      <c r="D213" s="66" t="s">
        <v>2177</v>
      </c>
      <c r="E213" s="71">
        <v>0</v>
      </c>
      <c r="F213" s="71">
        <v>0</v>
      </c>
      <c r="G213" s="72">
        <v>0</v>
      </c>
      <c r="H213" s="72">
        <v>0</v>
      </c>
    </row>
    <row r="214" spans="2:8" ht="12">
      <c r="B214" s="64">
        <v>208</v>
      </c>
      <c r="C214" s="64" t="s">
        <v>2178</v>
      </c>
      <c r="D214" s="66" t="s">
        <v>758</v>
      </c>
      <c r="E214" s="71">
        <v>0</v>
      </c>
      <c r="F214" s="71">
        <v>0</v>
      </c>
      <c r="G214" s="72">
        <v>0</v>
      </c>
      <c r="H214" s="72">
        <v>0</v>
      </c>
    </row>
    <row r="215" spans="2:8" ht="12">
      <c r="B215" s="64">
        <v>209</v>
      </c>
      <c r="C215" s="64" t="s">
        <v>759</v>
      </c>
      <c r="D215" s="66" t="s">
        <v>760</v>
      </c>
      <c r="E215" s="71">
        <v>0</v>
      </c>
      <c r="F215" s="71">
        <v>0</v>
      </c>
      <c r="G215" s="72">
        <v>0</v>
      </c>
      <c r="H215" s="72">
        <v>0</v>
      </c>
    </row>
    <row r="216" spans="2:8" ht="12">
      <c r="B216" s="64">
        <v>210</v>
      </c>
      <c r="C216" s="64" t="s">
        <v>2179</v>
      </c>
      <c r="D216" s="66" t="s">
        <v>761</v>
      </c>
      <c r="E216" s="71">
        <v>0</v>
      </c>
      <c r="F216" s="71">
        <v>0</v>
      </c>
      <c r="G216" s="72">
        <v>0</v>
      </c>
      <c r="H216" s="72">
        <v>0</v>
      </c>
    </row>
    <row r="217" spans="2:8" ht="12">
      <c r="B217" s="64">
        <v>211</v>
      </c>
      <c r="C217" s="64" t="s">
        <v>762</v>
      </c>
      <c r="D217" s="66" t="s">
        <v>763</v>
      </c>
      <c r="E217" s="71">
        <v>0</v>
      </c>
      <c r="F217" s="71">
        <v>0</v>
      </c>
      <c r="G217" s="72">
        <v>0</v>
      </c>
      <c r="H217" s="72">
        <v>0</v>
      </c>
    </row>
    <row r="218" spans="2:8" ht="12">
      <c r="B218" s="64">
        <v>212</v>
      </c>
      <c r="C218" s="64" t="s">
        <v>764</v>
      </c>
      <c r="D218" s="66" t="s">
        <v>2180</v>
      </c>
      <c r="E218" s="71">
        <v>0</v>
      </c>
      <c r="F218" s="71">
        <v>0</v>
      </c>
      <c r="G218" s="72">
        <v>0</v>
      </c>
      <c r="H218" s="72">
        <v>0</v>
      </c>
    </row>
    <row r="219" spans="2:8" ht="12">
      <c r="B219" s="64">
        <v>213</v>
      </c>
      <c r="C219" s="64" t="s">
        <v>765</v>
      </c>
      <c r="D219" s="66" t="s">
        <v>2181</v>
      </c>
      <c r="E219" s="71">
        <v>0</v>
      </c>
      <c r="F219" s="71">
        <v>0</v>
      </c>
      <c r="G219" s="72">
        <v>0</v>
      </c>
      <c r="H219" s="72">
        <v>0</v>
      </c>
    </row>
    <row r="220" spans="2:8" ht="12">
      <c r="B220" s="64">
        <v>214</v>
      </c>
      <c r="C220" s="64" t="s">
        <v>1664</v>
      </c>
      <c r="D220" s="66" t="s">
        <v>2182</v>
      </c>
      <c r="E220" s="71">
        <v>0</v>
      </c>
      <c r="F220" s="71">
        <v>0</v>
      </c>
      <c r="G220" s="72">
        <v>0</v>
      </c>
      <c r="H220" s="72">
        <v>0</v>
      </c>
    </row>
    <row r="221" spans="2:8" ht="12">
      <c r="B221" s="64">
        <v>215</v>
      </c>
      <c r="C221" s="64" t="s">
        <v>766</v>
      </c>
      <c r="D221" s="66" t="s">
        <v>767</v>
      </c>
      <c r="E221" s="71">
        <v>0</v>
      </c>
      <c r="F221" s="71">
        <v>0</v>
      </c>
      <c r="G221" s="72">
        <v>0</v>
      </c>
      <c r="H221" s="72">
        <v>0</v>
      </c>
    </row>
    <row r="222" spans="2:8" ht="12">
      <c r="B222" s="64">
        <v>216</v>
      </c>
      <c r="C222" s="64" t="s">
        <v>2183</v>
      </c>
      <c r="D222" s="66" t="s">
        <v>768</v>
      </c>
      <c r="E222" s="71">
        <v>0</v>
      </c>
      <c r="F222" s="71">
        <v>0</v>
      </c>
      <c r="G222" s="72">
        <v>0</v>
      </c>
      <c r="H222" s="72">
        <v>0</v>
      </c>
    </row>
    <row r="223" spans="2:8" ht="12">
      <c r="B223" s="64">
        <v>217</v>
      </c>
      <c r="C223" s="64" t="s">
        <v>2184</v>
      </c>
      <c r="D223" s="66" t="s">
        <v>2185</v>
      </c>
      <c r="E223" s="71">
        <v>0</v>
      </c>
      <c r="F223" s="71">
        <v>0</v>
      </c>
      <c r="G223" s="72">
        <v>0</v>
      </c>
      <c r="H223" s="72">
        <v>0</v>
      </c>
    </row>
    <row r="224" spans="2:8" ht="12">
      <c r="B224" s="64">
        <v>218</v>
      </c>
      <c r="C224" s="64" t="s">
        <v>769</v>
      </c>
      <c r="D224" s="66" t="s">
        <v>770</v>
      </c>
      <c r="E224" s="71">
        <v>0</v>
      </c>
      <c r="F224" s="71">
        <v>0</v>
      </c>
      <c r="G224" s="72">
        <v>0</v>
      </c>
      <c r="H224" s="72">
        <v>0</v>
      </c>
    </row>
    <row r="225" spans="2:8" ht="12">
      <c r="B225" s="64">
        <v>219</v>
      </c>
      <c r="C225" s="64" t="s">
        <v>771</v>
      </c>
      <c r="D225" s="66" t="s">
        <v>772</v>
      </c>
      <c r="E225" s="71">
        <v>0</v>
      </c>
      <c r="F225" s="71">
        <v>0</v>
      </c>
      <c r="G225" s="72">
        <v>0</v>
      </c>
      <c r="H225" s="72">
        <v>0</v>
      </c>
    </row>
    <row r="226" spans="2:8" ht="12">
      <c r="B226" s="64">
        <v>220</v>
      </c>
      <c r="C226" s="64" t="s">
        <v>773</v>
      </c>
      <c r="D226" s="66" t="s">
        <v>774</v>
      </c>
      <c r="E226" s="71">
        <v>0</v>
      </c>
      <c r="F226" s="71">
        <v>0</v>
      </c>
      <c r="G226" s="72">
        <v>0</v>
      </c>
      <c r="H226" s="72">
        <v>0</v>
      </c>
    </row>
    <row r="227" spans="2:8" ht="12">
      <c r="B227" s="64">
        <v>221</v>
      </c>
      <c r="C227" s="64" t="s">
        <v>775</v>
      </c>
      <c r="D227" s="66" t="s">
        <v>2186</v>
      </c>
      <c r="E227" s="71">
        <v>0</v>
      </c>
      <c r="F227" s="71">
        <v>0</v>
      </c>
      <c r="G227" s="72">
        <v>0</v>
      </c>
      <c r="H227" s="72">
        <v>0</v>
      </c>
    </row>
    <row r="228" spans="2:8" ht="12">
      <c r="B228" s="64">
        <v>222</v>
      </c>
      <c r="C228" s="64" t="s">
        <v>776</v>
      </c>
      <c r="D228" s="66" t="s">
        <v>777</v>
      </c>
      <c r="E228" s="71">
        <v>0</v>
      </c>
      <c r="F228" s="71">
        <v>0</v>
      </c>
      <c r="G228" s="72">
        <v>0</v>
      </c>
      <c r="H228" s="72">
        <v>0</v>
      </c>
    </row>
    <row r="229" spans="2:8" ht="12">
      <c r="B229" s="64">
        <v>223</v>
      </c>
      <c r="C229" s="64" t="s">
        <v>2187</v>
      </c>
      <c r="D229" s="66" t="s">
        <v>778</v>
      </c>
      <c r="E229" s="71">
        <v>0</v>
      </c>
      <c r="F229" s="71">
        <v>0</v>
      </c>
      <c r="G229" s="72">
        <v>0</v>
      </c>
      <c r="H229" s="72">
        <v>0</v>
      </c>
    </row>
    <row r="230" spans="2:8" ht="12">
      <c r="B230" s="64">
        <v>224</v>
      </c>
      <c r="C230" s="64" t="s">
        <v>2188</v>
      </c>
      <c r="D230" s="66" t="s">
        <v>779</v>
      </c>
      <c r="E230" s="71">
        <v>0</v>
      </c>
      <c r="F230" s="71">
        <v>0</v>
      </c>
      <c r="G230" s="72">
        <v>0</v>
      </c>
      <c r="H230" s="72">
        <v>0</v>
      </c>
    </row>
    <row r="231" spans="2:8" ht="12">
      <c r="B231" s="64">
        <v>225</v>
      </c>
      <c r="C231" s="64" t="s">
        <v>780</v>
      </c>
      <c r="D231" s="66" t="s">
        <v>562</v>
      </c>
      <c r="E231" s="71">
        <v>0</v>
      </c>
      <c r="F231" s="71">
        <v>0</v>
      </c>
      <c r="G231" s="72">
        <v>0</v>
      </c>
      <c r="H231" s="72">
        <v>0</v>
      </c>
    </row>
    <row r="232" spans="2:8" ht="12">
      <c r="B232" s="64">
        <v>226</v>
      </c>
      <c r="C232" s="64" t="s">
        <v>1326</v>
      </c>
      <c r="D232" s="66" t="s">
        <v>2189</v>
      </c>
      <c r="E232" s="71">
        <v>0</v>
      </c>
      <c r="F232" s="71">
        <v>0</v>
      </c>
      <c r="G232" s="72">
        <v>0</v>
      </c>
      <c r="H232" s="72">
        <v>0</v>
      </c>
    </row>
    <row r="233" spans="2:8" ht="12">
      <c r="B233" s="64">
        <v>227</v>
      </c>
      <c r="C233" s="64" t="s">
        <v>2190</v>
      </c>
      <c r="D233" s="66" t="s">
        <v>2191</v>
      </c>
      <c r="E233" s="71">
        <v>0</v>
      </c>
      <c r="F233" s="71">
        <v>0</v>
      </c>
      <c r="G233" s="72">
        <v>0</v>
      </c>
      <c r="H233" s="72">
        <v>0</v>
      </c>
    </row>
    <row r="234" spans="2:8" ht="12">
      <c r="B234" s="64">
        <v>228</v>
      </c>
      <c r="C234" s="64" t="s">
        <v>781</v>
      </c>
      <c r="D234" s="66" t="s">
        <v>2192</v>
      </c>
      <c r="E234" s="71">
        <v>0</v>
      </c>
      <c r="F234" s="71">
        <v>0</v>
      </c>
      <c r="G234" s="72">
        <v>0</v>
      </c>
      <c r="H234" s="72">
        <v>0</v>
      </c>
    </row>
    <row r="235" spans="2:8" ht="12">
      <c r="B235" s="64">
        <v>229</v>
      </c>
      <c r="C235" s="64" t="s">
        <v>2193</v>
      </c>
      <c r="D235" s="66" t="s">
        <v>1327</v>
      </c>
      <c r="E235" s="71">
        <v>0</v>
      </c>
      <c r="F235" s="71">
        <v>0</v>
      </c>
      <c r="G235" s="72">
        <v>0</v>
      </c>
      <c r="H235" s="72">
        <v>0</v>
      </c>
    </row>
    <row r="236" spans="2:8" ht="12">
      <c r="B236" s="64">
        <v>230</v>
      </c>
      <c r="C236" s="64" t="s">
        <v>782</v>
      </c>
      <c r="D236" s="66" t="s">
        <v>2194</v>
      </c>
      <c r="E236" s="71">
        <v>0</v>
      </c>
      <c r="F236" s="71">
        <v>0</v>
      </c>
      <c r="G236" s="72">
        <v>0</v>
      </c>
      <c r="H236" s="72">
        <v>0</v>
      </c>
    </row>
    <row r="237" spans="2:8" ht="12">
      <c r="B237" s="64">
        <v>231</v>
      </c>
      <c r="C237" s="64" t="s">
        <v>2195</v>
      </c>
      <c r="D237" s="66" t="s">
        <v>2196</v>
      </c>
      <c r="E237" s="71">
        <v>0</v>
      </c>
      <c r="F237" s="71">
        <v>0</v>
      </c>
      <c r="G237" s="72">
        <v>0</v>
      </c>
      <c r="H237" s="72">
        <v>0</v>
      </c>
    </row>
    <row r="238" spans="2:8" ht="12">
      <c r="B238" s="64">
        <v>232</v>
      </c>
      <c r="C238" s="64" t="s">
        <v>783</v>
      </c>
      <c r="D238" s="66" t="s">
        <v>2197</v>
      </c>
      <c r="E238" s="71">
        <v>0</v>
      </c>
      <c r="F238" s="71">
        <v>0</v>
      </c>
      <c r="G238" s="72">
        <v>0</v>
      </c>
      <c r="H238" s="72">
        <v>0</v>
      </c>
    </row>
    <row r="239" spans="2:8" ht="12">
      <c r="B239" s="64">
        <v>233</v>
      </c>
      <c r="C239" s="64" t="s">
        <v>1328</v>
      </c>
      <c r="D239" s="66" t="s">
        <v>2198</v>
      </c>
      <c r="E239" s="71">
        <v>0</v>
      </c>
      <c r="F239" s="71">
        <v>0</v>
      </c>
      <c r="G239" s="72">
        <v>0</v>
      </c>
      <c r="H239" s="72">
        <v>0</v>
      </c>
    </row>
    <row r="240" spans="2:8" ht="12">
      <c r="B240" s="64">
        <v>234</v>
      </c>
      <c r="C240" s="64" t="s">
        <v>2199</v>
      </c>
      <c r="D240" s="66" t="s">
        <v>2200</v>
      </c>
      <c r="E240" s="71">
        <v>0</v>
      </c>
      <c r="F240" s="71">
        <v>0</v>
      </c>
      <c r="G240" s="72">
        <v>0</v>
      </c>
      <c r="H240" s="72">
        <v>0</v>
      </c>
    </row>
    <row r="241" spans="2:8" ht="12">
      <c r="B241" s="64">
        <v>235</v>
      </c>
      <c r="C241" s="64" t="s">
        <v>2201</v>
      </c>
      <c r="D241" s="66" t="s">
        <v>2202</v>
      </c>
      <c r="E241" s="71">
        <v>0</v>
      </c>
      <c r="F241" s="71">
        <v>0</v>
      </c>
      <c r="G241" s="72">
        <v>0</v>
      </c>
      <c r="H241" s="72">
        <v>0</v>
      </c>
    </row>
    <row r="242" spans="2:8" ht="12">
      <c r="B242" s="64">
        <v>236</v>
      </c>
      <c r="C242" s="64" t="s">
        <v>2203</v>
      </c>
      <c r="D242" s="66" t="s">
        <v>1329</v>
      </c>
      <c r="E242" s="71">
        <v>0</v>
      </c>
      <c r="F242" s="71">
        <v>0</v>
      </c>
      <c r="G242" s="72">
        <v>0</v>
      </c>
      <c r="H242" s="72">
        <v>0</v>
      </c>
    </row>
    <row r="243" spans="2:8" ht="12">
      <c r="B243" s="64">
        <v>237</v>
      </c>
      <c r="C243" s="64" t="s">
        <v>784</v>
      </c>
      <c r="D243" s="66" t="s">
        <v>785</v>
      </c>
      <c r="E243" s="71">
        <v>0</v>
      </c>
      <c r="F243" s="71">
        <v>0</v>
      </c>
      <c r="G243" s="72">
        <v>0</v>
      </c>
      <c r="H243" s="72">
        <v>0</v>
      </c>
    </row>
    <row r="244" spans="2:8" ht="12">
      <c r="B244" s="64">
        <v>238</v>
      </c>
      <c r="C244" s="64" t="s">
        <v>2204</v>
      </c>
      <c r="D244" s="66" t="s">
        <v>2205</v>
      </c>
      <c r="E244" s="71">
        <v>0</v>
      </c>
      <c r="F244" s="71">
        <v>0</v>
      </c>
      <c r="G244" s="72">
        <v>0</v>
      </c>
      <c r="H244" s="72">
        <v>0</v>
      </c>
    </row>
    <row r="245" spans="2:8" ht="12">
      <c r="B245" s="64">
        <v>239</v>
      </c>
      <c r="C245" s="64" t="s">
        <v>2206</v>
      </c>
      <c r="D245" s="66" t="s">
        <v>786</v>
      </c>
      <c r="E245" s="71">
        <v>0</v>
      </c>
      <c r="F245" s="71">
        <v>0</v>
      </c>
      <c r="G245" s="72">
        <v>0</v>
      </c>
      <c r="H245" s="72">
        <v>0</v>
      </c>
    </row>
    <row r="246" spans="2:8" ht="12">
      <c r="B246" s="64">
        <v>240</v>
      </c>
      <c r="C246" s="64" t="s">
        <v>2207</v>
      </c>
      <c r="D246" s="66" t="s">
        <v>787</v>
      </c>
      <c r="E246" s="71">
        <v>0</v>
      </c>
      <c r="F246" s="71">
        <v>0</v>
      </c>
      <c r="G246" s="72">
        <v>0</v>
      </c>
      <c r="H246" s="72">
        <v>0</v>
      </c>
    </row>
    <row r="247" spans="2:8" ht="12">
      <c r="B247" s="64">
        <v>241</v>
      </c>
      <c r="C247" s="64" t="s">
        <v>788</v>
      </c>
      <c r="D247" s="66" t="s">
        <v>2208</v>
      </c>
      <c r="E247" s="71">
        <v>0</v>
      </c>
      <c r="F247" s="71">
        <v>0</v>
      </c>
      <c r="G247" s="72">
        <v>0</v>
      </c>
      <c r="H247" s="72">
        <v>0</v>
      </c>
    </row>
    <row r="248" spans="2:8" ht="12">
      <c r="B248" s="64">
        <v>242</v>
      </c>
      <c r="C248" s="64" t="s">
        <v>789</v>
      </c>
      <c r="D248" s="66" t="s">
        <v>2209</v>
      </c>
      <c r="E248" s="71">
        <v>0</v>
      </c>
      <c r="F248" s="71">
        <v>0</v>
      </c>
      <c r="G248" s="72">
        <v>0</v>
      </c>
      <c r="H248" s="72">
        <v>0</v>
      </c>
    </row>
    <row r="249" spans="2:8" ht="12">
      <c r="B249" s="64">
        <v>243</v>
      </c>
      <c r="C249" s="64" t="s">
        <v>2210</v>
      </c>
      <c r="D249" s="66" t="s">
        <v>1665</v>
      </c>
      <c r="E249" s="71">
        <v>0</v>
      </c>
      <c r="F249" s="71">
        <v>0</v>
      </c>
      <c r="G249" s="72">
        <v>0</v>
      </c>
      <c r="H249" s="72">
        <v>0</v>
      </c>
    </row>
    <row r="250" spans="2:8" ht="12">
      <c r="B250" s="64">
        <v>244</v>
      </c>
      <c r="C250" s="64" t="s">
        <v>790</v>
      </c>
      <c r="D250" s="66" t="s">
        <v>791</v>
      </c>
      <c r="E250" s="71">
        <v>0</v>
      </c>
      <c r="F250" s="71">
        <v>0</v>
      </c>
      <c r="G250" s="72">
        <v>0</v>
      </c>
      <c r="H250" s="72">
        <v>0</v>
      </c>
    </row>
    <row r="251" spans="2:8" ht="12">
      <c r="B251" s="64">
        <v>245</v>
      </c>
      <c r="C251" s="64" t="s">
        <v>792</v>
      </c>
      <c r="D251" s="66" t="s">
        <v>2211</v>
      </c>
      <c r="E251" s="71">
        <v>0</v>
      </c>
      <c r="F251" s="71">
        <v>0</v>
      </c>
      <c r="G251" s="72">
        <v>0</v>
      </c>
      <c r="H251" s="72">
        <v>0</v>
      </c>
    </row>
    <row r="252" spans="2:8" ht="12">
      <c r="B252" s="64">
        <v>246</v>
      </c>
      <c r="C252" s="64" t="s">
        <v>1519</v>
      </c>
      <c r="D252" s="66" t="s">
        <v>793</v>
      </c>
      <c r="E252" s="71">
        <v>0</v>
      </c>
      <c r="F252" s="71">
        <v>0</v>
      </c>
      <c r="G252" s="72">
        <v>0</v>
      </c>
      <c r="H252" s="72">
        <v>0</v>
      </c>
    </row>
    <row r="253" spans="2:8" ht="12">
      <c r="B253" s="64">
        <v>247</v>
      </c>
      <c r="C253" s="64" t="s">
        <v>794</v>
      </c>
      <c r="D253" s="66" t="s">
        <v>2212</v>
      </c>
      <c r="E253" s="71">
        <v>0</v>
      </c>
      <c r="F253" s="71">
        <v>0</v>
      </c>
      <c r="G253" s="72">
        <v>0</v>
      </c>
      <c r="H253" s="72">
        <v>0</v>
      </c>
    </row>
    <row r="254" spans="2:8" ht="12">
      <c r="B254" s="64">
        <v>248</v>
      </c>
      <c r="C254" s="64" t="s">
        <v>2213</v>
      </c>
      <c r="D254" s="66" t="s">
        <v>2214</v>
      </c>
      <c r="E254" s="71">
        <v>0</v>
      </c>
      <c r="F254" s="71">
        <v>0</v>
      </c>
      <c r="G254" s="72">
        <v>0</v>
      </c>
      <c r="H254" s="72">
        <v>0</v>
      </c>
    </row>
    <row r="255" spans="2:8" ht="12">
      <c r="B255" s="64">
        <v>249</v>
      </c>
      <c r="C255" s="64" t="s">
        <v>2215</v>
      </c>
      <c r="D255" s="66" t="s">
        <v>2216</v>
      </c>
      <c r="E255" s="71">
        <v>0</v>
      </c>
      <c r="F255" s="71">
        <v>0</v>
      </c>
      <c r="G255" s="72">
        <v>0</v>
      </c>
      <c r="H255" s="72">
        <v>0</v>
      </c>
    </row>
    <row r="256" spans="2:8" ht="12">
      <c r="B256" s="64">
        <v>250</v>
      </c>
      <c r="C256" s="64" t="s">
        <v>795</v>
      </c>
      <c r="D256" s="66" t="s">
        <v>796</v>
      </c>
      <c r="E256" s="71">
        <v>0</v>
      </c>
      <c r="F256" s="71">
        <v>0</v>
      </c>
      <c r="G256" s="72">
        <v>0</v>
      </c>
      <c r="H256" s="72">
        <v>0</v>
      </c>
    </row>
    <row r="257" spans="2:8" ht="12">
      <c r="B257" s="64">
        <v>251</v>
      </c>
      <c r="C257" s="64" t="s">
        <v>2217</v>
      </c>
      <c r="D257" s="66" t="s">
        <v>2218</v>
      </c>
      <c r="E257" s="71">
        <v>0</v>
      </c>
      <c r="F257" s="71">
        <v>0</v>
      </c>
      <c r="G257" s="72">
        <v>0</v>
      </c>
      <c r="H257" s="72">
        <v>0</v>
      </c>
    </row>
    <row r="258" spans="2:8" ht="12">
      <c r="B258" s="64">
        <v>252</v>
      </c>
      <c r="C258" s="64" t="s">
        <v>2219</v>
      </c>
      <c r="D258" s="66" t="s">
        <v>2220</v>
      </c>
      <c r="E258" s="71">
        <v>0</v>
      </c>
      <c r="F258" s="71">
        <v>0</v>
      </c>
      <c r="G258" s="72">
        <v>0</v>
      </c>
      <c r="H258" s="72">
        <v>0</v>
      </c>
    </row>
    <row r="259" spans="2:8" ht="12">
      <c r="B259" s="64">
        <v>253</v>
      </c>
      <c r="C259" s="64" t="s">
        <v>797</v>
      </c>
      <c r="D259" s="66" t="s">
        <v>2221</v>
      </c>
      <c r="E259" s="71">
        <v>0</v>
      </c>
      <c r="F259" s="71">
        <v>0</v>
      </c>
      <c r="G259" s="72">
        <v>0</v>
      </c>
      <c r="H259" s="72">
        <v>0</v>
      </c>
    </row>
    <row r="260" spans="2:8" ht="12">
      <c r="B260" s="64">
        <v>254</v>
      </c>
      <c r="C260" s="64" t="s">
        <v>2222</v>
      </c>
      <c r="D260" s="66" t="s">
        <v>2223</v>
      </c>
      <c r="E260" s="71">
        <v>0</v>
      </c>
      <c r="F260" s="71">
        <v>0</v>
      </c>
      <c r="G260" s="72">
        <v>0</v>
      </c>
      <c r="H260" s="72">
        <v>0</v>
      </c>
    </row>
    <row r="261" spans="2:8" ht="12">
      <c r="B261" s="64">
        <v>255</v>
      </c>
      <c r="C261" s="64" t="s">
        <v>798</v>
      </c>
      <c r="D261" s="66" t="s">
        <v>2224</v>
      </c>
      <c r="E261" s="71">
        <v>0</v>
      </c>
      <c r="F261" s="71">
        <v>0</v>
      </c>
      <c r="G261" s="72">
        <v>0</v>
      </c>
      <c r="H261" s="72">
        <v>0</v>
      </c>
    </row>
    <row r="262" spans="2:8" ht="12">
      <c r="B262" s="64">
        <v>256</v>
      </c>
      <c r="C262" s="64" t="s">
        <v>563</v>
      </c>
      <c r="D262" s="66" t="s">
        <v>799</v>
      </c>
      <c r="E262" s="71">
        <v>0</v>
      </c>
      <c r="F262" s="71">
        <v>0</v>
      </c>
      <c r="G262" s="72">
        <v>0</v>
      </c>
      <c r="H262" s="72">
        <v>0</v>
      </c>
    </row>
    <row r="263" spans="2:8" ht="12">
      <c r="B263" s="64">
        <v>257</v>
      </c>
      <c r="C263" s="64" t="s">
        <v>800</v>
      </c>
      <c r="D263" s="66" t="s">
        <v>801</v>
      </c>
      <c r="E263" s="71">
        <v>0</v>
      </c>
      <c r="F263" s="71">
        <v>0</v>
      </c>
      <c r="G263" s="72">
        <v>0</v>
      </c>
      <c r="H263" s="72">
        <v>0</v>
      </c>
    </row>
    <row r="264" spans="2:8" ht="12">
      <c r="B264" s="64">
        <v>258</v>
      </c>
      <c r="C264" s="64" t="s">
        <v>2225</v>
      </c>
      <c r="D264" s="66" t="s">
        <v>2226</v>
      </c>
      <c r="E264" s="71">
        <v>0</v>
      </c>
      <c r="F264" s="71">
        <v>0</v>
      </c>
      <c r="G264" s="72">
        <v>0</v>
      </c>
      <c r="H264" s="72">
        <v>0</v>
      </c>
    </row>
    <row r="265" spans="2:8" ht="12">
      <c r="B265" s="64">
        <v>259</v>
      </c>
      <c r="C265" s="64" t="s">
        <v>802</v>
      </c>
      <c r="D265" s="66" t="s">
        <v>2227</v>
      </c>
      <c r="E265" s="71">
        <v>0</v>
      </c>
      <c r="F265" s="71">
        <v>0</v>
      </c>
      <c r="G265" s="72">
        <v>0</v>
      </c>
      <c r="H265" s="72">
        <v>0</v>
      </c>
    </row>
    <row r="266" spans="2:8" ht="12">
      <c r="B266" s="64">
        <v>260</v>
      </c>
      <c r="C266" s="64" t="s">
        <v>803</v>
      </c>
      <c r="D266" s="66" t="s">
        <v>804</v>
      </c>
      <c r="E266" s="71">
        <v>0</v>
      </c>
      <c r="F266" s="71">
        <v>0</v>
      </c>
      <c r="G266" s="72">
        <v>0</v>
      </c>
      <c r="H266" s="72">
        <v>0</v>
      </c>
    </row>
    <row r="267" spans="2:8" ht="12">
      <c r="B267" s="64">
        <v>261</v>
      </c>
      <c r="C267" s="64" t="s">
        <v>2228</v>
      </c>
      <c r="D267" s="66" t="s">
        <v>2229</v>
      </c>
      <c r="E267" s="71">
        <v>0</v>
      </c>
      <c r="F267" s="71">
        <v>0</v>
      </c>
      <c r="G267" s="72">
        <v>0</v>
      </c>
      <c r="H267" s="72">
        <v>0</v>
      </c>
    </row>
    <row r="268" spans="2:8" ht="12">
      <c r="B268" s="64">
        <v>262</v>
      </c>
      <c r="C268" s="64" t="s">
        <v>805</v>
      </c>
      <c r="D268" s="66" t="s">
        <v>2230</v>
      </c>
      <c r="E268" s="71">
        <v>0</v>
      </c>
      <c r="F268" s="71">
        <v>0</v>
      </c>
      <c r="G268" s="72">
        <v>0</v>
      </c>
      <c r="H268" s="72">
        <v>0</v>
      </c>
    </row>
    <row r="269" spans="2:8" ht="12">
      <c r="B269" s="64">
        <v>263</v>
      </c>
      <c r="C269" s="64" t="s">
        <v>2231</v>
      </c>
      <c r="D269" s="66" t="s">
        <v>2232</v>
      </c>
      <c r="E269" s="71">
        <v>0</v>
      </c>
      <c r="F269" s="71">
        <v>0</v>
      </c>
      <c r="G269" s="72">
        <v>0</v>
      </c>
      <c r="H269" s="72">
        <v>0</v>
      </c>
    </row>
    <row r="270" spans="2:8" ht="12">
      <c r="B270" s="64">
        <v>264</v>
      </c>
      <c r="C270" s="64" t="s">
        <v>1330</v>
      </c>
      <c r="D270" s="66" t="s">
        <v>806</v>
      </c>
      <c r="E270" s="71">
        <v>0</v>
      </c>
      <c r="F270" s="71">
        <v>0</v>
      </c>
      <c r="G270" s="72">
        <v>0</v>
      </c>
      <c r="H270" s="72">
        <v>0</v>
      </c>
    </row>
    <row r="271" spans="2:8" ht="12">
      <c r="B271" s="64">
        <v>265</v>
      </c>
      <c r="C271" s="64" t="s">
        <v>807</v>
      </c>
      <c r="D271" s="66" t="s">
        <v>808</v>
      </c>
      <c r="E271" s="71">
        <v>0</v>
      </c>
      <c r="F271" s="71">
        <v>0</v>
      </c>
      <c r="G271" s="72">
        <v>0</v>
      </c>
      <c r="H271" s="72">
        <v>0</v>
      </c>
    </row>
    <row r="272" spans="2:8" ht="12">
      <c r="B272" s="64">
        <v>266</v>
      </c>
      <c r="C272" s="64" t="s">
        <v>809</v>
      </c>
      <c r="D272" s="66" t="s">
        <v>564</v>
      </c>
      <c r="E272" s="71">
        <v>0</v>
      </c>
      <c r="F272" s="71">
        <v>0</v>
      </c>
      <c r="G272" s="72">
        <v>0</v>
      </c>
      <c r="H272" s="72">
        <v>0</v>
      </c>
    </row>
    <row r="273" spans="2:8" ht="12">
      <c r="B273" s="64">
        <v>267</v>
      </c>
      <c r="C273" s="64" t="s">
        <v>2233</v>
      </c>
      <c r="D273" s="66" t="s">
        <v>810</v>
      </c>
      <c r="E273" s="71">
        <v>0</v>
      </c>
      <c r="F273" s="71">
        <v>0</v>
      </c>
      <c r="G273" s="72">
        <v>0</v>
      </c>
      <c r="H273" s="72">
        <v>0</v>
      </c>
    </row>
    <row r="274" spans="2:8" ht="12">
      <c r="B274" s="64">
        <v>268</v>
      </c>
      <c r="C274" s="64" t="s">
        <v>2234</v>
      </c>
      <c r="D274" s="66" t="s">
        <v>2235</v>
      </c>
      <c r="E274" s="71">
        <v>0</v>
      </c>
      <c r="F274" s="71">
        <v>0</v>
      </c>
      <c r="G274" s="72">
        <v>0</v>
      </c>
      <c r="H274" s="72">
        <v>0</v>
      </c>
    </row>
    <row r="275" spans="2:8" ht="12">
      <c r="B275" s="64">
        <v>269</v>
      </c>
      <c r="C275" s="64" t="s">
        <v>1666</v>
      </c>
      <c r="D275" s="66" t="s">
        <v>811</v>
      </c>
      <c r="E275" s="71">
        <v>0</v>
      </c>
      <c r="F275" s="71">
        <v>0</v>
      </c>
      <c r="G275" s="72">
        <v>0</v>
      </c>
      <c r="H275" s="72">
        <v>0</v>
      </c>
    </row>
    <row r="276" spans="2:8" ht="12">
      <c r="B276" s="64">
        <v>270</v>
      </c>
      <c r="C276" s="64" t="s">
        <v>2236</v>
      </c>
      <c r="D276" s="66" t="s">
        <v>2237</v>
      </c>
      <c r="E276" s="71">
        <v>0</v>
      </c>
      <c r="F276" s="71">
        <v>0</v>
      </c>
      <c r="G276" s="72">
        <v>0</v>
      </c>
      <c r="H276" s="72">
        <v>0</v>
      </c>
    </row>
    <row r="277" spans="2:8" ht="12">
      <c r="B277" s="64">
        <v>271</v>
      </c>
      <c r="C277" s="64" t="s">
        <v>2238</v>
      </c>
      <c r="D277" s="66" t="s">
        <v>2239</v>
      </c>
      <c r="E277" s="71">
        <v>0</v>
      </c>
      <c r="F277" s="71">
        <v>0</v>
      </c>
      <c r="G277" s="72">
        <v>0</v>
      </c>
      <c r="H277" s="72">
        <v>0</v>
      </c>
    </row>
    <row r="278" spans="2:8" ht="12">
      <c r="B278" s="64">
        <v>272</v>
      </c>
      <c r="C278" s="64" t="s">
        <v>812</v>
      </c>
      <c r="D278" s="66" t="s">
        <v>2240</v>
      </c>
      <c r="E278" s="71">
        <v>0</v>
      </c>
      <c r="F278" s="71">
        <v>0</v>
      </c>
      <c r="G278" s="72">
        <v>0</v>
      </c>
      <c r="H278" s="72">
        <v>0</v>
      </c>
    </row>
    <row r="279" spans="2:8" ht="12">
      <c r="B279" s="64">
        <v>273</v>
      </c>
      <c r="C279" s="64" t="s">
        <v>1706</v>
      </c>
      <c r="D279" s="66" t="s">
        <v>2241</v>
      </c>
      <c r="E279" s="71">
        <v>0</v>
      </c>
      <c r="F279" s="71">
        <v>0</v>
      </c>
      <c r="G279" s="72">
        <v>0</v>
      </c>
      <c r="H279" s="72">
        <v>0</v>
      </c>
    </row>
    <row r="280" spans="2:8" ht="12">
      <c r="B280" s="64">
        <v>274</v>
      </c>
      <c r="C280" s="64" t="s">
        <v>1808</v>
      </c>
      <c r="D280" s="66" t="s">
        <v>2242</v>
      </c>
      <c r="E280" s="71">
        <v>0</v>
      </c>
      <c r="F280" s="71">
        <v>0</v>
      </c>
      <c r="G280" s="72">
        <v>0</v>
      </c>
      <c r="H280" s="72">
        <v>0</v>
      </c>
    </row>
    <row r="281" spans="2:8" ht="12">
      <c r="B281" s="64">
        <v>275</v>
      </c>
      <c r="C281" s="64" t="s">
        <v>813</v>
      </c>
      <c r="D281" s="66" t="s">
        <v>565</v>
      </c>
      <c r="E281" s="71">
        <v>0</v>
      </c>
      <c r="F281" s="71">
        <v>0</v>
      </c>
      <c r="G281" s="72">
        <v>0</v>
      </c>
      <c r="H281" s="72">
        <v>0</v>
      </c>
    </row>
    <row r="282" spans="2:8" ht="12">
      <c r="B282" s="64">
        <v>276</v>
      </c>
      <c r="C282" s="64" t="s">
        <v>1331</v>
      </c>
      <c r="D282" s="66" t="s">
        <v>814</v>
      </c>
      <c r="E282" s="71">
        <v>0</v>
      </c>
      <c r="F282" s="71">
        <v>0</v>
      </c>
      <c r="G282" s="72">
        <v>0</v>
      </c>
      <c r="H282" s="72">
        <v>0</v>
      </c>
    </row>
    <row r="283" spans="2:8" ht="12">
      <c r="B283" s="64">
        <v>277</v>
      </c>
      <c r="C283" s="64" t="s">
        <v>2243</v>
      </c>
      <c r="D283" s="66" t="s">
        <v>815</v>
      </c>
      <c r="E283" s="71">
        <v>0</v>
      </c>
      <c r="F283" s="71">
        <v>0</v>
      </c>
      <c r="G283" s="72">
        <v>0</v>
      </c>
      <c r="H283" s="72">
        <v>0</v>
      </c>
    </row>
    <row r="284" spans="2:8" ht="12">
      <c r="B284" s="64">
        <v>278</v>
      </c>
      <c r="C284" s="64" t="s">
        <v>816</v>
      </c>
      <c r="D284" s="66" t="s">
        <v>817</v>
      </c>
      <c r="E284" s="71">
        <v>0</v>
      </c>
      <c r="F284" s="71">
        <v>0</v>
      </c>
      <c r="G284" s="72">
        <v>0</v>
      </c>
      <c r="H284" s="72">
        <v>0</v>
      </c>
    </row>
    <row r="285" spans="2:8" ht="12">
      <c r="B285" s="64">
        <v>279</v>
      </c>
      <c r="C285" s="64" t="s">
        <v>818</v>
      </c>
      <c r="D285" s="66" t="s">
        <v>1332</v>
      </c>
      <c r="E285" s="71">
        <v>0</v>
      </c>
      <c r="F285" s="71">
        <v>0</v>
      </c>
      <c r="G285" s="72">
        <v>0</v>
      </c>
      <c r="H285" s="72">
        <v>0</v>
      </c>
    </row>
    <row r="286" spans="2:8" ht="12">
      <c r="B286" s="64">
        <v>280</v>
      </c>
      <c r="C286" s="64" t="s">
        <v>566</v>
      </c>
      <c r="D286" s="66" t="s">
        <v>2244</v>
      </c>
      <c r="E286" s="71">
        <v>0</v>
      </c>
      <c r="F286" s="71">
        <v>0</v>
      </c>
      <c r="G286" s="72">
        <v>0</v>
      </c>
      <c r="H286" s="72">
        <v>0</v>
      </c>
    </row>
    <row r="287" spans="2:8" ht="12">
      <c r="B287" s="64">
        <v>281</v>
      </c>
      <c r="C287" s="64" t="s">
        <v>2245</v>
      </c>
      <c r="D287" s="66" t="s">
        <v>1333</v>
      </c>
      <c r="E287" s="71">
        <v>0</v>
      </c>
      <c r="F287" s="71">
        <v>0</v>
      </c>
      <c r="G287" s="72">
        <v>0</v>
      </c>
      <c r="H287" s="72">
        <v>0</v>
      </c>
    </row>
    <row r="288" spans="2:8" ht="12">
      <c r="B288" s="64">
        <v>282</v>
      </c>
      <c r="C288" s="64" t="s">
        <v>2246</v>
      </c>
      <c r="D288" s="66" t="s">
        <v>2247</v>
      </c>
      <c r="E288" s="71">
        <v>0</v>
      </c>
      <c r="F288" s="71">
        <v>0</v>
      </c>
      <c r="G288" s="72">
        <v>0</v>
      </c>
      <c r="H288" s="72">
        <v>0</v>
      </c>
    </row>
    <row r="289" spans="2:8" ht="12">
      <c r="B289" s="64">
        <v>283</v>
      </c>
      <c r="C289" s="64" t="s">
        <v>2248</v>
      </c>
      <c r="D289" s="66" t="s">
        <v>1583</v>
      </c>
      <c r="E289" s="71">
        <v>0</v>
      </c>
      <c r="F289" s="71">
        <v>0</v>
      </c>
      <c r="G289" s="72">
        <v>0</v>
      </c>
      <c r="H289" s="72">
        <v>0</v>
      </c>
    </row>
    <row r="290" spans="2:8" ht="12">
      <c r="B290" s="64">
        <v>284</v>
      </c>
      <c r="C290" s="64" t="s">
        <v>2249</v>
      </c>
      <c r="D290" s="66" t="s">
        <v>819</v>
      </c>
      <c r="E290" s="71">
        <v>0</v>
      </c>
      <c r="F290" s="71">
        <v>0</v>
      </c>
      <c r="G290" s="72">
        <v>0</v>
      </c>
      <c r="H290" s="72">
        <v>0</v>
      </c>
    </row>
    <row r="291" spans="2:8" ht="12">
      <c r="B291" s="64">
        <v>285</v>
      </c>
      <c r="C291" s="64" t="s">
        <v>567</v>
      </c>
      <c r="D291" s="66" t="s">
        <v>820</v>
      </c>
      <c r="E291" s="71">
        <v>0</v>
      </c>
      <c r="F291" s="71">
        <v>0</v>
      </c>
      <c r="G291" s="72">
        <v>0</v>
      </c>
      <c r="H291" s="72">
        <v>0</v>
      </c>
    </row>
    <row r="292" spans="2:8" ht="12">
      <c r="B292" s="64">
        <v>286</v>
      </c>
      <c r="C292" s="64" t="s">
        <v>821</v>
      </c>
      <c r="D292" s="66" t="s">
        <v>822</v>
      </c>
      <c r="E292" s="71">
        <v>0</v>
      </c>
      <c r="F292" s="71">
        <v>0</v>
      </c>
      <c r="G292" s="72">
        <v>0</v>
      </c>
      <c r="H292" s="72">
        <v>0</v>
      </c>
    </row>
    <row r="293" spans="2:8" ht="12">
      <c r="B293" s="64">
        <v>287</v>
      </c>
      <c r="C293" s="64" t="s">
        <v>823</v>
      </c>
      <c r="D293" s="66" t="s">
        <v>824</v>
      </c>
      <c r="E293" s="71">
        <v>0</v>
      </c>
      <c r="F293" s="71">
        <v>0</v>
      </c>
      <c r="G293" s="72">
        <v>0</v>
      </c>
      <c r="H293" s="72">
        <v>0</v>
      </c>
    </row>
    <row r="294" spans="2:8" ht="12">
      <c r="B294" s="64">
        <v>288</v>
      </c>
      <c r="C294" s="64" t="s">
        <v>825</v>
      </c>
      <c r="D294" s="66" t="s">
        <v>2250</v>
      </c>
      <c r="E294" s="71">
        <v>0</v>
      </c>
      <c r="F294" s="71">
        <v>0</v>
      </c>
      <c r="G294" s="72">
        <v>0</v>
      </c>
      <c r="H294" s="72">
        <v>0</v>
      </c>
    </row>
    <row r="295" spans="2:8" ht="12">
      <c r="B295" s="64">
        <v>289</v>
      </c>
      <c r="C295" s="64" t="s">
        <v>2251</v>
      </c>
      <c r="D295" s="66" t="s">
        <v>826</v>
      </c>
      <c r="E295" s="71">
        <v>0</v>
      </c>
      <c r="F295" s="71">
        <v>0</v>
      </c>
      <c r="G295" s="72">
        <v>0</v>
      </c>
      <c r="H295" s="72">
        <v>0</v>
      </c>
    </row>
    <row r="296" spans="2:8" ht="12">
      <c r="B296" s="64">
        <v>290</v>
      </c>
      <c r="C296" s="64" t="s">
        <v>827</v>
      </c>
      <c r="D296" s="66" t="s">
        <v>828</v>
      </c>
      <c r="E296" s="71">
        <v>0</v>
      </c>
      <c r="F296" s="71">
        <v>0</v>
      </c>
      <c r="G296" s="72">
        <v>0</v>
      </c>
      <c r="H296" s="72">
        <v>0</v>
      </c>
    </row>
    <row r="297" spans="2:8" ht="12">
      <c r="B297" s="64">
        <v>291</v>
      </c>
      <c r="C297" s="64" t="s">
        <v>2252</v>
      </c>
      <c r="D297" s="66" t="s">
        <v>2253</v>
      </c>
      <c r="E297" s="71">
        <v>0</v>
      </c>
      <c r="F297" s="71">
        <v>0</v>
      </c>
      <c r="G297" s="72">
        <v>0</v>
      </c>
      <c r="H297" s="72">
        <v>0</v>
      </c>
    </row>
    <row r="298" spans="2:8" ht="12">
      <c r="B298" s="64">
        <v>292</v>
      </c>
      <c r="C298" s="64" t="s">
        <v>568</v>
      </c>
      <c r="D298" s="66" t="s">
        <v>1334</v>
      </c>
      <c r="E298" s="71">
        <v>0</v>
      </c>
      <c r="F298" s="71">
        <v>0</v>
      </c>
      <c r="G298" s="72">
        <v>0</v>
      </c>
      <c r="H298" s="72">
        <v>0</v>
      </c>
    </row>
    <row r="299" spans="2:8" ht="12">
      <c r="B299" s="64">
        <v>293</v>
      </c>
      <c r="C299" s="64" t="s">
        <v>2254</v>
      </c>
      <c r="D299" s="66" t="s">
        <v>2255</v>
      </c>
      <c r="E299" s="71">
        <v>0</v>
      </c>
      <c r="F299" s="71">
        <v>0</v>
      </c>
      <c r="G299" s="72">
        <v>0</v>
      </c>
      <c r="H299" s="72">
        <v>0</v>
      </c>
    </row>
    <row r="300" spans="2:8" ht="12">
      <c r="B300" s="64">
        <v>294</v>
      </c>
      <c r="C300" s="64" t="s">
        <v>2256</v>
      </c>
      <c r="D300" s="66" t="s">
        <v>829</v>
      </c>
      <c r="E300" s="71">
        <v>0</v>
      </c>
      <c r="F300" s="71">
        <v>0</v>
      </c>
      <c r="G300" s="72">
        <v>0</v>
      </c>
      <c r="H300" s="72">
        <v>0</v>
      </c>
    </row>
    <row r="301" spans="2:8" ht="12">
      <c r="B301" s="64">
        <v>295</v>
      </c>
      <c r="C301" s="64" t="s">
        <v>2257</v>
      </c>
      <c r="D301" s="66" t="s">
        <v>830</v>
      </c>
      <c r="E301" s="71">
        <v>0</v>
      </c>
      <c r="F301" s="71">
        <v>0</v>
      </c>
      <c r="G301" s="72">
        <v>0</v>
      </c>
      <c r="H301" s="72">
        <v>0</v>
      </c>
    </row>
    <row r="302" spans="2:8" ht="12">
      <c r="B302" s="64">
        <v>296</v>
      </c>
      <c r="C302" s="64" t="s">
        <v>2258</v>
      </c>
      <c r="D302" s="66" t="s">
        <v>569</v>
      </c>
      <c r="E302" s="71">
        <v>0</v>
      </c>
      <c r="F302" s="71">
        <v>0</v>
      </c>
      <c r="G302" s="72">
        <v>0</v>
      </c>
      <c r="H302" s="72">
        <v>0</v>
      </c>
    </row>
    <row r="303" spans="2:8" ht="12">
      <c r="B303" s="64">
        <v>297</v>
      </c>
      <c r="C303" s="64" t="s">
        <v>2259</v>
      </c>
      <c r="D303" s="66" t="s">
        <v>2260</v>
      </c>
      <c r="E303" s="71">
        <v>0</v>
      </c>
      <c r="F303" s="71">
        <v>0</v>
      </c>
      <c r="G303" s="72">
        <v>0</v>
      </c>
      <c r="H303" s="72">
        <v>0</v>
      </c>
    </row>
    <row r="304" spans="2:8" ht="12">
      <c r="B304" s="64">
        <v>298</v>
      </c>
      <c r="C304" s="64" t="s">
        <v>2261</v>
      </c>
      <c r="D304" s="66" t="s">
        <v>1865</v>
      </c>
      <c r="E304" s="71">
        <v>0</v>
      </c>
      <c r="F304" s="71">
        <v>0</v>
      </c>
      <c r="G304" s="72">
        <v>0</v>
      </c>
      <c r="H304" s="72">
        <v>0</v>
      </c>
    </row>
    <row r="305" spans="2:8" ht="12">
      <c r="B305" s="64">
        <v>299</v>
      </c>
      <c r="C305" s="64" t="s">
        <v>831</v>
      </c>
      <c r="D305" s="66" t="s">
        <v>832</v>
      </c>
      <c r="E305" s="71">
        <v>0</v>
      </c>
      <c r="F305" s="71">
        <v>0</v>
      </c>
      <c r="G305" s="72">
        <v>0</v>
      </c>
      <c r="H305" s="72">
        <v>0</v>
      </c>
    </row>
    <row r="306" spans="2:8" ht="12">
      <c r="B306" s="64">
        <v>300</v>
      </c>
      <c r="C306" s="64" t="s">
        <v>833</v>
      </c>
      <c r="D306" s="66" t="s">
        <v>834</v>
      </c>
      <c r="E306" s="71">
        <v>0</v>
      </c>
      <c r="F306" s="71">
        <v>0</v>
      </c>
      <c r="G306" s="72">
        <v>0</v>
      </c>
      <c r="H306" s="72">
        <v>0</v>
      </c>
    </row>
    <row r="307" spans="2:8" ht="12">
      <c r="B307" s="64">
        <v>301</v>
      </c>
      <c r="C307" s="64" t="s">
        <v>835</v>
      </c>
      <c r="D307" s="66" t="s">
        <v>2262</v>
      </c>
      <c r="E307" s="71">
        <v>0</v>
      </c>
      <c r="F307" s="71">
        <v>0</v>
      </c>
      <c r="G307" s="72">
        <v>0</v>
      </c>
      <c r="H307" s="72">
        <v>0</v>
      </c>
    </row>
    <row r="308" spans="2:8" ht="12">
      <c r="B308" s="64">
        <v>302</v>
      </c>
      <c r="C308" s="64" t="s">
        <v>836</v>
      </c>
      <c r="D308" s="66" t="s">
        <v>837</v>
      </c>
      <c r="E308" s="71">
        <v>0</v>
      </c>
      <c r="F308" s="71">
        <v>0</v>
      </c>
      <c r="G308" s="72">
        <v>0</v>
      </c>
      <c r="H308" s="72">
        <v>0</v>
      </c>
    </row>
    <row r="309" spans="2:8" ht="12">
      <c r="B309" s="64">
        <v>303</v>
      </c>
      <c r="C309" s="64" t="s">
        <v>838</v>
      </c>
      <c r="D309" s="66" t="s">
        <v>2263</v>
      </c>
      <c r="E309" s="71">
        <v>0</v>
      </c>
      <c r="F309" s="71">
        <v>0</v>
      </c>
      <c r="G309" s="72">
        <v>0</v>
      </c>
      <c r="H309" s="72">
        <v>0</v>
      </c>
    </row>
    <row r="310" spans="2:8" ht="12">
      <c r="B310" s="64">
        <v>304</v>
      </c>
      <c r="C310" s="64" t="s">
        <v>2264</v>
      </c>
      <c r="D310" s="66" t="s">
        <v>839</v>
      </c>
      <c r="E310" s="71">
        <v>0</v>
      </c>
      <c r="F310" s="71">
        <v>0</v>
      </c>
      <c r="G310" s="72">
        <v>0</v>
      </c>
      <c r="H310" s="72">
        <v>0</v>
      </c>
    </row>
    <row r="311" spans="2:8" ht="12">
      <c r="B311" s="64">
        <v>305</v>
      </c>
      <c r="C311" s="64" t="s">
        <v>2265</v>
      </c>
      <c r="D311" s="66" t="s">
        <v>840</v>
      </c>
      <c r="E311" s="71">
        <v>0</v>
      </c>
      <c r="F311" s="71">
        <v>0</v>
      </c>
      <c r="G311" s="72">
        <v>0</v>
      </c>
      <c r="H311" s="72">
        <v>0</v>
      </c>
    </row>
    <row r="312" spans="2:8" ht="12">
      <c r="B312" s="64">
        <v>306</v>
      </c>
      <c r="C312" s="64" t="s">
        <v>570</v>
      </c>
      <c r="D312" s="66" t="s">
        <v>841</v>
      </c>
      <c r="E312" s="71">
        <v>0</v>
      </c>
      <c r="F312" s="71">
        <v>0</v>
      </c>
      <c r="G312" s="72">
        <v>0</v>
      </c>
      <c r="H312" s="72">
        <v>0</v>
      </c>
    </row>
    <row r="313" spans="2:8" ht="12">
      <c r="B313" s="64">
        <v>307</v>
      </c>
      <c r="C313" s="64" t="s">
        <v>842</v>
      </c>
      <c r="D313" s="66" t="s">
        <v>2266</v>
      </c>
      <c r="E313" s="71">
        <v>0</v>
      </c>
      <c r="F313" s="71">
        <v>0</v>
      </c>
      <c r="G313" s="72">
        <v>0</v>
      </c>
      <c r="H313" s="72">
        <v>0</v>
      </c>
    </row>
    <row r="314" spans="2:8" ht="12">
      <c r="B314" s="64">
        <v>308</v>
      </c>
      <c r="C314" s="64" t="s">
        <v>2267</v>
      </c>
      <c r="D314" s="66" t="s">
        <v>2268</v>
      </c>
      <c r="E314" s="71">
        <v>0</v>
      </c>
      <c r="F314" s="71">
        <v>0</v>
      </c>
      <c r="G314" s="72">
        <v>0</v>
      </c>
      <c r="H314" s="72">
        <v>0</v>
      </c>
    </row>
    <row r="315" spans="2:8" ht="12">
      <c r="B315" s="64">
        <v>309</v>
      </c>
      <c r="C315" s="64" t="s">
        <v>843</v>
      </c>
      <c r="D315" s="66" t="s">
        <v>844</v>
      </c>
      <c r="E315" s="71">
        <v>0</v>
      </c>
      <c r="F315" s="71">
        <v>0</v>
      </c>
      <c r="G315" s="72">
        <v>0</v>
      </c>
      <c r="H315" s="72">
        <v>0</v>
      </c>
    </row>
    <row r="316" spans="2:8" ht="12">
      <c r="B316" s="64">
        <v>310</v>
      </c>
      <c r="C316" s="64" t="s">
        <v>845</v>
      </c>
      <c r="D316" s="66" t="s">
        <v>2269</v>
      </c>
      <c r="E316" s="71">
        <v>0</v>
      </c>
      <c r="F316" s="71">
        <v>0</v>
      </c>
      <c r="G316" s="72">
        <v>0</v>
      </c>
      <c r="H316" s="72">
        <v>0</v>
      </c>
    </row>
    <row r="317" spans="2:8" ht="12">
      <c r="B317" s="64">
        <v>311</v>
      </c>
      <c r="C317" s="64" t="s">
        <v>1335</v>
      </c>
      <c r="D317" s="66" t="s">
        <v>846</v>
      </c>
      <c r="E317" s="71">
        <v>0</v>
      </c>
      <c r="F317" s="71">
        <v>0</v>
      </c>
      <c r="G317" s="72">
        <v>0</v>
      </c>
      <c r="H317" s="72">
        <v>0</v>
      </c>
    </row>
    <row r="318" spans="2:8" ht="12">
      <c r="B318" s="64">
        <v>312</v>
      </c>
      <c r="C318" s="64" t="s">
        <v>847</v>
      </c>
      <c r="D318" s="66" t="s">
        <v>848</v>
      </c>
      <c r="E318" s="71">
        <v>0</v>
      </c>
      <c r="F318" s="71">
        <v>0</v>
      </c>
      <c r="G318" s="72">
        <v>0</v>
      </c>
      <c r="H318" s="72">
        <v>0</v>
      </c>
    </row>
    <row r="319" spans="2:8" ht="12">
      <c r="B319" s="64">
        <v>313</v>
      </c>
      <c r="C319" s="64" t="s">
        <v>571</v>
      </c>
      <c r="D319" s="66" t="s">
        <v>849</v>
      </c>
      <c r="E319" s="71">
        <v>0</v>
      </c>
      <c r="F319" s="71">
        <v>0</v>
      </c>
      <c r="G319" s="72">
        <v>0</v>
      </c>
      <c r="H319" s="72">
        <v>0</v>
      </c>
    </row>
    <row r="320" spans="2:8" ht="12">
      <c r="B320" s="64">
        <v>314</v>
      </c>
      <c r="C320" s="64" t="s">
        <v>2270</v>
      </c>
      <c r="D320" s="66" t="s">
        <v>2271</v>
      </c>
      <c r="E320" s="71">
        <v>0</v>
      </c>
      <c r="F320" s="71">
        <v>0</v>
      </c>
      <c r="G320" s="72">
        <v>0</v>
      </c>
      <c r="H320" s="72">
        <v>0</v>
      </c>
    </row>
    <row r="321" spans="2:8" ht="12">
      <c r="B321" s="64">
        <v>315</v>
      </c>
      <c r="C321" s="64" t="s">
        <v>850</v>
      </c>
      <c r="D321" s="66" t="s">
        <v>2272</v>
      </c>
      <c r="E321" s="71">
        <v>0</v>
      </c>
      <c r="F321" s="71">
        <v>0</v>
      </c>
      <c r="G321" s="72">
        <v>0</v>
      </c>
      <c r="H321" s="72">
        <v>0</v>
      </c>
    </row>
    <row r="322" spans="2:8" ht="12">
      <c r="B322" s="64">
        <v>316</v>
      </c>
      <c r="C322" s="64" t="s">
        <v>1866</v>
      </c>
      <c r="D322" s="66" t="s">
        <v>851</v>
      </c>
      <c r="E322" s="71">
        <v>0</v>
      </c>
      <c r="F322" s="71">
        <v>0</v>
      </c>
      <c r="G322" s="72">
        <v>0</v>
      </c>
      <c r="H322" s="72">
        <v>0</v>
      </c>
    </row>
    <row r="323" spans="2:8" ht="12">
      <c r="B323" s="64">
        <v>317</v>
      </c>
      <c r="C323" s="64" t="s">
        <v>2273</v>
      </c>
      <c r="D323" s="66" t="s">
        <v>852</v>
      </c>
      <c r="E323" s="71">
        <v>0</v>
      </c>
      <c r="F323" s="71">
        <v>0</v>
      </c>
      <c r="G323" s="72">
        <v>0</v>
      </c>
      <c r="H323" s="72">
        <v>0</v>
      </c>
    </row>
    <row r="324" spans="2:8" ht="12">
      <c r="B324" s="64">
        <v>318</v>
      </c>
      <c r="C324" s="64" t="s">
        <v>572</v>
      </c>
      <c r="D324" s="66" t="s">
        <v>1336</v>
      </c>
      <c r="E324" s="71">
        <v>0</v>
      </c>
      <c r="F324" s="71">
        <v>0</v>
      </c>
      <c r="G324" s="72">
        <v>0</v>
      </c>
      <c r="H324" s="72">
        <v>0</v>
      </c>
    </row>
    <row r="325" spans="2:8" ht="12">
      <c r="B325" s="64">
        <v>319</v>
      </c>
      <c r="C325" s="64" t="s">
        <v>853</v>
      </c>
      <c r="D325" s="66" t="s">
        <v>2274</v>
      </c>
      <c r="E325" s="71">
        <v>0</v>
      </c>
      <c r="F325" s="71">
        <v>0</v>
      </c>
      <c r="G325" s="72">
        <v>0</v>
      </c>
      <c r="H325" s="72">
        <v>0</v>
      </c>
    </row>
    <row r="326" spans="2:8" ht="12">
      <c r="B326" s="64">
        <v>320</v>
      </c>
      <c r="C326" s="64" t="s">
        <v>2275</v>
      </c>
      <c r="D326" s="66" t="s">
        <v>854</v>
      </c>
      <c r="E326" s="71">
        <v>0</v>
      </c>
      <c r="F326" s="71">
        <v>0</v>
      </c>
      <c r="G326" s="72">
        <v>0</v>
      </c>
      <c r="H326" s="72">
        <v>0</v>
      </c>
    </row>
    <row r="327" spans="2:8" ht="12">
      <c r="B327" s="64">
        <v>321</v>
      </c>
      <c r="C327" s="64" t="s">
        <v>855</v>
      </c>
      <c r="D327" s="66" t="s">
        <v>856</v>
      </c>
      <c r="E327" s="71">
        <v>0</v>
      </c>
      <c r="F327" s="71">
        <v>0</v>
      </c>
      <c r="G327" s="72">
        <v>0</v>
      </c>
      <c r="H327" s="72">
        <v>0</v>
      </c>
    </row>
    <row r="328" spans="2:8" ht="12">
      <c r="B328" s="64">
        <v>322</v>
      </c>
      <c r="C328" s="64" t="s">
        <v>857</v>
      </c>
      <c r="D328" s="66" t="s">
        <v>858</v>
      </c>
      <c r="E328" s="71">
        <v>0</v>
      </c>
      <c r="F328" s="71">
        <v>0</v>
      </c>
      <c r="G328" s="72">
        <v>0</v>
      </c>
      <c r="H328" s="72">
        <v>0</v>
      </c>
    </row>
    <row r="329" spans="2:8" ht="12">
      <c r="B329" s="64">
        <v>323</v>
      </c>
      <c r="C329" s="64" t="s">
        <v>573</v>
      </c>
      <c r="D329" s="66" t="s">
        <v>2276</v>
      </c>
      <c r="E329" s="71">
        <v>0</v>
      </c>
      <c r="F329" s="71">
        <v>0</v>
      </c>
      <c r="G329" s="72">
        <v>0</v>
      </c>
      <c r="H329" s="72">
        <v>0</v>
      </c>
    </row>
    <row r="330" spans="2:8" ht="12">
      <c r="B330" s="64">
        <v>324</v>
      </c>
      <c r="C330" s="64" t="s">
        <v>2277</v>
      </c>
      <c r="D330" s="66" t="s">
        <v>2278</v>
      </c>
      <c r="E330" s="71">
        <v>0</v>
      </c>
      <c r="F330" s="71">
        <v>0</v>
      </c>
      <c r="G330" s="72">
        <v>0</v>
      </c>
      <c r="H330" s="72">
        <v>0</v>
      </c>
    </row>
    <row r="331" spans="2:8" ht="12">
      <c r="B331" s="64">
        <v>325</v>
      </c>
      <c r="C331" s="64" t="s">
        <v>2279</v>
      </c>
      <c r="D331" s="66" t="s">
        <v>859</v>
      </c>
      <c r="E331" s="71">
        <v>0</v>
      </c>
      <c r="F331" s="71">
        <v>0</v>
      </c>
      <c r="G331" s="72">
        <v>0</v>
      </c>
      <c r="H331" s="72">
        <v>0</v>
      </c>
    </row>
    <row r="332" spans="2:8" ht="12">
      <c r="B332" s="64">
        <v>326</v>
      </c>
      <c r="C332" s="64" t="s">
        <v>860</v>
      </c>
      <c r="D332" s="66" t="s">
        <v>2280</v>
      </c>
      <c r="E332" s="71">
        <v>0</v>
      </c>
      <c r="F332" s="71">
        <v>0</v>
      </c>
      <c r="G332" s="72">
        <v>0</v>
      </c>
      <c r="H332" s="72">
        <v>0</v>
      </c>
    </row>
    <row r="333" spans="2:8" ht="12">
      <c r="B333" s="64">
        <v>327</v>
      </c>
      <c r="C333" s="64" t="s">
        <v>2281</v>
      </c>
      <c r="D333" s="66" t="s">
        <v>2282</v>
      </c>
      <c r="E333" s="71">
        <v>0</v>
      </c>
      <c r="F333" s="71">
        <v>0</v>
      </c>
      <c r="G333" s="72">
        <v>0</v>
      </c>
      <c r="H333" s="72">
        <v>0</v>
      </c>
    </row>
    <row r="334" spans="2:8" ht="12">
      <c r="B334" s="64">
        <v>328</v>
      </c>
      <c r="C334" s="64" t="s">
        <v>2283</v>
      </c>
      <c r="D334" s="66" t="s">
        <v>2284</v>
      </c>
      <c r="E334" s="71">
        <v>0</v>
      </c>
      <c r="F334" s="71">
        <v>0</v>
      </c>
      <c r="G334" s="72">
        <v>0</v>
      </c>
      <c r="H334" s="72">
        <v>0</v>
      </c>
    </row>
    <row r="335" spans="2:8" ht="12">
      <c r="B335" s="64">
        <v>329</v>
      </c>
      <c r="C335" s="64" t="s">
        <v>2285</v>
      </c>
      <c r="D335" s="66" t="s">
        <v>2286</v>
      </c>
      <c r="E335" s="71">
        <v>0</v>
      </c>
      <c r="F335" s="71">
        <v>0</v>
      </c>
      <c r="G335" s="72">
        <v>0</v>
      </c>
      <c r="H335" s="72">
        <v>0</v>
      </c>
    </row>
    <row r="336" spans="2:8" ht="12">
      <c r="B336" s="64">
        <v>330</v>
      </c>
      <c r="C336" s="64" t="s">
        <v>2287</v>
      </c>
      <c r="D336" s="66" t="s">
        <v>1707</v>
      </c>
      <c r="E336" s="71">
        <v>0</v>
      </c>
      <c r="F336" s="71">
        <v>0</v>
      </c>
      <c r="G336" s="72">
        <v>0</v>
      </c>
      <c r="H336" s="72">
        <v>0</v>
      </c>
    </row>
    <row r="337" spans="2:8" ht="12">
      <c r="B337" s="64">
        <v>331</v>
      </c>
      <c r="C337" s="64" t="s">
        <v>2288</v>
      </c>
      <c r="D337" s="66" t="s">
        <v>861</v>
      </c>
      <c r="E337" s="71">
        <v>0</v>
      </c>
      <c r="F337" s="71">
        <v>0</v>
      </c>
      <c r="G337" s="72">
        <v>0</v>
      </c>
      <c r="H337" s="72">
        <v>0</v>
      </c>
    </row>
    <row r="338" spans="2:8" ht="12">
      <c r="B338" s="64">
        <v>332</v>
      </c>
      <c r="C338" s="64" t="s">
        <v>574</v>
      </c>
      <c r="D338" s="66" t="s">
        <v>862</v>
      </c>
      <c r="E338" s="71">
        <v>0</v>
      </c>
      <c r="F338" s="71">
        <v>0</v>
      </c>
      <c r="G338" s="72">
        <v>0</v>
      </c>
      <c r="H338" s="72">
        <v>0</v>
      </c>
    </row>
    <row r="339" spans="2:8" ht="12">
      <c r="B339" s="64">
        <v>333</v>
      </c>
      <c r="C339" s="64" t="s">
        <v>863</v>
      </c>
      <c r="D339" s="66" t="s">
        <v>2289</v>
      </c>
      <c r="E339" s="71">
        <v>0</v>
      </c>
      <c r="F339" s="71">
        <v>0</v>
      </c>
      <c r="G339" s="72">
        <v>0</v>
      </c>
      <c r="H339" s="72">
        <v>0</v>
      </c>
    </row>
    <row r="340" spans="2:8" ht="12">
      <c r="B340" s="64">
        <v>334</v>
      </c>
      <c r="C340" s="64" t="s">
        <v>864</v>
      </c>
      <c r="D340" s="66" t="s">
        <v>1337</v>
      </c>
      <c r="E340" s="71">
        <v>0</v>
      </c>
      <c r="F340" s="71">
        <v>0</v>
      </c>
      <c r="G340" s="72">
        <v>0</v>
      </c>
      <c r="H340" s="72">
        <v>0</v>
      </c>
    </row>
    <row r="341" spans="2:8" ht="12">
      <c r="B341" s="64">
        <v>335</v>
      </c>
      <c r="C341" s="64" t="s">
        <v>865</v>
      </c>
      <c r="D341" s="66" t="s">
        <v>866</v>
      </c>
      <c r="E341" s="71">
        <v>0</v>
      </c>
      <c r="F341" s="71">
        <v>0</v>
      </c>
      <c r="G341" s="72">
        <v>0</v>
      </c>
      <c r="H341" s="72">
        <v>0</v>
      </c>
    </row>
    <row r="342" spans="2:8" ht="12">
      <c r="B342" s="64">
        <v>336</v>
      </c>
      <c r="C342" s="64" t="s">
        <v>867</v>
      </c>
      <c r="D342" s="66" t="s">
        <v>2290</v>
      </c>
      <c r="E342" s="71">
        <v>0</v>
      </c>
      <c r="F342" s="71">
        <v>0</v>
      </c>
      <c r="G342" s="72">
        <v>0</v>
      </c>
      <c r="H342" s="72">
        <v>0</v>
      </c>
    </row>
    <row r="343" spans="2:8" ht="12">
      <c r="B343" s="64">
        <v>337</v>
      </c>
      <c r="C343" s="64" t="s">
        <v>868</v>
      </c>
      <c r="D343" s="66" t="s">
        <v>869</v>
      </c>
      <c r="E343" s="71">
        <v>0</v>
      </c>
      <c r="F343" s="71">
        <v>0</v>
      </c>
      <c r="G343" s="72">
        <v>0</v>
      </c>
      <c r="H343" s="72">
        <v>0</v>
      </c>
    </row>
    <row r="344" spans="2:8" ht="12">
      <c r="B344" s="64">
        <v>338</v>
      </c>
      <c r="C344" s="64" t="s">
        <v>1338</v>
      </c>
      <c r="D344" s="66" t="s">
        <v>870</v>
      </c>
      <c r="E344" s="71">
        <v>0</v>
      </c>
      <c r="F344" s="71">
        <v>0</v>
      </c>
      <c r="G344" s="72">
        <v>0</v>
      </c>
      <c r="H344" s="72">
        <v>0</v>
      </c>
    </row>
    <row r="345" spans="2:8" ht="12">
      <c r="B345" s="64">
        <v>339</v>
      </c>
      <c r="C345" s="64" t="s">
        <v>871</v>
      </c>
      <c r="D345" s="66" t="s">
        <v>2291</v>
      </c>
      <c r="E345" s="71">
        <v>0</v>
      </c>
      <c r="F345" s="71">
        <v>0</v>
      </c>
      <c r="G345" s="72">
        <v>0</v>
      </c>
      <c r="H345" s="72">
        <v>0</v>
      </c>
    </row>
    <row r="346" spans="2:8" ht="12">
      <c r="B346" s="64">
        <v>340</v>
      </c>
      <c r="C346" s="64" t="s">
        <v>1339</v>
      </c>
      <c r="D346" s="66" t="s">
        <v>2292</v>
      </c>
      <c r="E346" s="71">
        <v>0</v>
      </c>
      <c r="F346" s="71">
        <v>0</v>
      </c>
      <c r="G346" s="72">
        <v>0</v>
      </c>
      <c r="H346" s="72">
        <v>0</v>
      </c>
    </row>
    <row r="347" spans="2:8" ht="12">
      <c r="B347" s="64">
        <v>341</v>
      </c>
      <c r="C347" s="64" t="s">
        <v>1340</v>
      </c>
      <c r="D347" s="66" t="s">
        <v>872</v>
      </c>
      <c r="E347" s="71">
        <v>0</v>
      </c>
      <c r="F347" s="71">
        <v>0</v>
      </c>
      <c r="G347" s="72">
        <v>0</v>
      </c>
      <c r="H347" s="72">
        <v>0</v>
      </c>
    </row>
    <row r="348" spans="2:8" ht="12">
      <c r="B348" s="64">
        <v>342</v>
      </c>
      <c r="C348" s="64" t="s">
        <v>2293</v>
      </c>
      <c r="D348" s="66" t="s">
        <v>1520</v>
      </c>
      <c r="E348" s="71">
        <v>0</v>
      </c>
      <c r="F348" s="71">
        <v>0</v>
      </c>
      <c r="G348" s="72">
        <v>0</v>
      </c>
      <c r="H348" s="72">
        <v>0</v>
      </c>
    </row>
    <row r="349" spans="2:8" ht="12">
      <c r="B349" s="64">
        <v>343</v>
      </c>
      <c r="C349" s="64" t="s">
        <v>575</v>
      </c>
      <c r="D349" s="66" t="s">
        <v>1341</v>
      </c>
      <c r="E349" s="71">
        <v>0</v>
      </c>
      <c r="F349" s="71">
        <v>0</v>
      </c>
      <c r="G349" s="72">
        <v>0</v>
      </c>
      <c r="H349" s="72">
        <v>0</v>
      </c>
    </row>
    <row r="350" spans="2:8" ht="12">
      <c r="B350" s="64">
        <v>344</v>
      </c>
      <c r="C350" s="64" t="s">
        <v>1708</v>
      </c>
      <c r="D350" s="66" t="s">
        <v>2294</v>
      </c>
      <c r="E350" s="71">
        <v>0</v>
      </c>
      <c r="F350" s="71">
        <v>0</v>
      </c>
      <c r="G350" s="72">
        <v>0</v>
      </c>
      <c r="H350" s="72">
        <v>0</v>
      </c>
    </row>
    <row r="351" spans="2:8" ht="12">
      <c r="B351" s="64">
        <v>345</v>
      </c>
      <c r="C351" s="64" t="s">
        <v>2295</v>
      </c>
      <c r="D351" s="66" t="s">
        <v>873</v>
      </c>
      <c r="E351" s="71">
        <v>0</v>
      </c>
      <c r="F351" s="71">
        <v>0</v>
      </c>
      <c r="G351" s="72">
        <v>0</v>
      </c>
      <c r="H351" s="72">
        <v>0</v>
      </c>
    </row>
    <row r="352" spans="2:8" ht="12">
      <c r="B352" s="64">
        <v>346</v>
      </c>
      <c r="C352" s="64" t="s">
        <v>874</v>
      </c>
      <c r="D352" s="66" t="s">
        <v>1342</v>
      </c>
      <c r="E352" s="71">
        <v>0</v>
      </c>
      <c r="F352" s="71">
        <v>0</v>
      </c>
      <c r="G352" s="72">
        <v>0</v>
      </c>
      <c r="H352" s="72">
        <v>0</v>
      </c>
    </row>
    <row r="353" spans="2:8" ht="12">
      <c r="B353" s="64">
        <v>347</v>
      </c>
      <c r="C353" s="64" t="s">
        <v>1343</v>
      </c>
      <c r="D353" s="66" t="s">
        <v>875</v>
      </c>
      <c r="E353" s="71">
        <v>0</v>
      </c>
      <c r="F353" s="71">
        <v>0</v>
      </c>
      <c r="G353" s="72">
        <v>0</v>
      </c>
      <c r="H353" s="72">
        <v>0</v>
      </c>
    </row>
    <row r="354" spans="2:8" ht="12">
      <c r="B354" s="64">
        <v>348</v>
      </c>
      <c r="C354" s="64" t="s">
        <v>576</v>
      </c>
      <c r="D354" s="66" t="s">
        <v>2296</v>
      </c>
      <c r="E354" s="71">
        <v>0</v>
      </c>
      <c r="F354" s="71">
        <v>0</v>
      </c>
      <c r="G354" s="72">
        <v>0</v>
      </c>
      <c r="H354" s="72">
        <v>0</v>
      </c>
    </row>
    <row r="355" spans="2:8" ht="12">
      <c r="B355" s="64">
        <v>349</v>
      </c>
      <c r="C355" s="64" t="s">
        <v>2297</v>
      </c>
      <c r="D355" s="66" t="s">
        <v>2298</v>
      </c>
      <c r="E355" s="71">
        <v>0</v>
      </c>
      <c r="F355" s="71">
        <v>0</v>
      </c>
      <c r="G355" s="72">
        <v>0</v>
      </c>
      <c r="H355" s="72">
        <v>0</v>
      </c>
    </row>
    <row r="356" spans="2:8" ht="12">
      <c r="B356" s="64">
        <v>350</v>
      </c>
      <c r="C356" s="64" t="s">
        <v>2299</v>
      </c>
      <c r="D356" s="66" t="s">
        <v>876</v>
      </c>
      <c r="E356" s="71">
        <v>0</v>
      </c>
      <c r="F356" s="71">
        <v>0</v>
      </c>
      <c r="G356" s="72">
        <v>0</v>
      </c>
      <c r="H356" s="72">
        <v>0</v>
      </c>
    </row>
    <row r="357" spans="2:8" ht="12">
      <c r="B357" s="64">
        <v>351</v>
      </c>
      <c r="C357" s="64" t="s">
        <v>577</v>
      </c>
      <c r="D357" s="66" t="s">
        <v>877</v>
      </c>
      <c r="E357" s="71">
        <v>0</v>
      </c>
      <c r="F357" s="71">
        <v>0</v>
      </c>
      <c r="G357" s="72">
        <v>0</v>
      </c>
      <c r="H357" s="72">
        <v>0</v>
      </c>
    </row>
    <row r="358" spans="2:8" ht="12">
      <c r="B358" s="64">
        <v>352</v>
      </c>
      <c r="C358" s="64" t="s">
        <v>878</v>
      </c>
      <c r="D358" s="66" t="s">
        <v>2300</v>
      </c>
      <c r="E358" s="71">
        <v>0</v>
      </c>
      <c r="F358" s="71">
        <v>0</v>
      </c>
      <c r="G358" s="72">
        <v>0</v>
      </c>
      <c r="H358" s="72">
        <v>0</v>
      </c>
    </row>
    <row r="359" spans="2:8" ht="12">
      <c r="B359" s="64">
        <v>353</v>
      </c>
      <c r="C359" s="64" t="s">
        <v>2301</v>
      </c>
      <c r="D359" s="66" t="s">
        <v>879</v>
      </c>
      <c r="E359" s="71">
        <v>0</v>
      </c>
      <c r="F359" s="71">
        <v>0</v>
      </c>
      <c r="G359" s="72">
        <v>0</v>
      </c>
      <c r="H359" s="72">
        <v>0</v>
      </c>
    </row>
    <row r="360" spans="2:8" ht="12">
      <c r="B360" s="64">
        <v>354</v>
      </c>
      <c r="C360" s="64" t="s">
        <v>2302</v>
      </c>
      <c r="D360" s="66" t="s">
        <v>1344</v>
      </c>
      <c r="E360" s="71">
        <v>0</v>
      </c>
      <c r="F360" s="71">
        <v>0</v>
      </c>
      <c r="G360" s="72">
        <v>0</v>
      </c>
      <c r="H360" s="72">
        <v>0</v>
      </c>
    </row>
    <row r="361" spans="2:8" ht="12">
      <c r="B361" s="64">
        <v>355</v>
      </c>
      <c r="C361" s="64" t="s">
        <v>2303</v>
      </c>
      <c r="D361" s="66" t="s">
        <v>578</v>
      </c>
      <c r="E361" s="71">
        <v>0</v>
      </c>
      <c r="F361" s="71">
        <v>0</v>
      </c>
      <c r="G361" s="72">
        <v>0</v>
      </c>
      <c r="H361" s="72">
        <v>0</v>
      </c>
    </row>
    <row r="362" spans="2:8" ht="12">
      <c r="B362" s="64">
        <v>356</v>
      </c>
      <c r="C362" s="64" t="s">
        <v>880</v>
      </c>
      <c r="D362" s="66" t="s">
        <v>2304</v>
      </c>
      <c r="E362" s="71">
        <v>0</v>
      </c>
      <c r="F362" s="71">
        <v>0</v>
      </c>
      <c r="G362" s="72">
        <v>0</v>
      </c>
      <c r="H362" s="72">
        <v>0</v>
      </c>
    </row>
    <row r="363" spans="2:8" ht="12">
      <c r="B363" s="64">
        <v>357</v>
      </c>
      <c r="C363" s="64" t="s">
        <v>881</v>
      </c>
      <c r="D363" s="66" t="s">
        <v>2305</v>
      </c>
      <c r="E363" s="71">
        <v>0</v>
      </c>
      <c r="F363" s="71">
        <v>0</v>
      </c>
      <c r="G363" s="72">
        <v>0</v>
      </c>
      <c r="H363" s="72">
        <v>0</v>
      </c>
    </row>
    <row r="364" spans="2:8" ht="12">
      <c r="B364" s="64">
        <v>358</v>
      </c>
      <c r="C364" s="64" t="s">
        <v>2306</v>
      </c>
      <c r="D364" s="66" t="s">
        <v>1584</v>
      </c>
      <c r="E364" s="71">
        <v>0</v>
      </c>
      <c r="F364" s="71">
        <v>0</v>
      </c>
      <c r="G364" s="72">
        <v>0</v>
      </c>
      <c r="H364" s="72">
        <v>0</v>
      </c>
    </row>
    <row r="365" spans="2:8" ht="12">
      <c r="B365" s="64">
        <v>359</v>
      </c>
      <c r="C365" s="64" t="s">
        <v>2307</v>
      </c>
      <c r="D365" s="66" t="s">
        <v>882</v>
      </c>
      <c r="E365" s="71">
        <v>0</v>
      </c>
      <c r="F365" s="71">
        <v>0</v>
      </c>
      <c r="G365" s="72">
        <v>0</v>
      </c>
      <c r="H365" s="72">
        <v>0</v>
      </c>
    </row>
    <row r="366" spans="2:8" ht="12">
      <c r="B366" s="64">
        <v>360</v>
      </c>
      <c r="C366" s="64" t="s">
        <v>2308</v>
      </c>
      <c r="D366" s="66" t="s">
        <v>1825</v>
      </c>
      <c r="E366" s="71">
        <v>0</v>
      </c>
      <c r="F366" s="71">
        <v>0</v>
      </c>
      <c r="G366" s="72">
        <v>0</v>
      </c>
      <c r="H366" s="72">
        <v>0</v>
      </c>
    </row>
    <row r="367" spans="2:8" ht="12">
      <c r="B367" s="64">
        <v>361</v>
      </c>
      <c r="C367" s="64" t="s">
        <v>883</v>
      </c>
      <c r="D367" s="66" t="s">
        <v>884</v>
      </c>
      <c r="E367" s="71">
        <v>0</v>
      </c>
      <c r="F367" s="71">
        <v>0</v>
      </c>
      <c r="G367" s="72">
        <v>0</v>
      </c>
      <c r="H367" s="72">
        <v>0</v>
      </c>
    </row>
    <row r="368" spans="2:8" ht="12">
      <c r="B368" s="64">
        <v>362</v>
      </c>
      <c r="C368" s="64" t="s">
        <v>885</v>
      </c>
      <c r="D368" s="66" t="s">
        <v>886</v>
      </c>
      <c r="E368" s="71">
        <v>0</v>
      </c>
      <c r="F368" s="71">
        <v>0</v>
      </c>
      <c r="G368" s="72">
        <v>0</v>
      </c>
      <c r="H368" s="72">
        <v>0</v>
      </c>
    </row>
    <row r="369" spans="2:8" ht="12">
      <c r="B369" s="64">
        <v>363</v>
      </c>
      <c r="C369" s="64" t="s">
        <v>2309</v>
      </c>
      <c r="D369" s="66" t="s">
        <v>887</v>
      </c>
      <c r="E369" s="71">
        <v>0</v>
      </c>
      <c r="F369" s="71">
        <v>0</v>
      </c>
      <c r="G369" s="72">
        <v>0</v>
      </c>
      <c r="H369" s="72">
        <v>0</v>
      </c>
    </row>
    <row r="370" spans="2:8" ht="12">
      <c r="B370" s="64">
        <v>364</v>
      </c>
      <c r="C370" s="64" t="s">
        <v>1345</v>
      </c>
      <c r="D370" s="66" t="s">
        <v>888</v>
      </c>
      <c r="E370" s="71">
        <v>0</v>
      </c>
      <c r="F370" s="71">
        <v>0</v>
      </c>
      <c r="G370" s="72">
        <v>0</v>
      </c>
      <c r="H370" s="72">
        <v>0</v>
      </c>
    </row>
    <row r="371" spans="2:8" ht="12">
      <c r="B371" s="64">
        <v>365</v>
      </c>
      <c r="C371" s="64" t="s">
        <v>579</v>
      </c>
      <c r="D371" s="66" t="s">
        <v>2310</v>
      </c>
      <c r="E371" s="71">
        <v>0</v>
      </c>
      <c r="F371" s="71">
        <v>0</v>
      </c>
      <c r="G371" s="72">
        <v>0</v>
      </c>
      <c r="H371" s="72">
        <v>0</v>
      </c>
    </row>
    <row r="372" spans="2:8" ht="12">
      <c r="B372" s="64">
        <v>366</v>
      </c>
      <c r="C372" s="64" t="s">
        <v>2311</v>
      </c>
      <c r="D372" s="66" t="s">
        <v>889</v>
      </c>
      <c r="E372" s="71">
        <v>0</v>
      </c>
      <c r="F372" s="71">
        <v>0</v>
      </c>
      <c r="G372" s="72">
        <v>0</v>
      </c>
      <c r="H372" s="72">
        <v>0</v>
      </c>
    </row>
    <row r="373" spans="2:8" ht="12">
      <c r="B373" s="64">
        <v>367</v>
      </c>
      <c r="C373" s="64" t="s">
        <v>890</v>
      </c>
      <c r="D373" s="66" t="s">
        <v>2312</v>
      </c>
      <c r="E373" s="71">
        <v>0</v>
      </c>
      <c r="F373" s="71">
        <v>0</v>
      </c>
      <c r="G373" s="72">
        <v>0</v>
      </c>
      <c r="H373" s="72">
        <v>0</v>
      </c>
    </row>
    <row r="374" spans="2:8" ht="12">
      <c r="B374" s="64">
        <v>368</v>
      </c>
      <c r="C374" s="64" t="s">
        <v>891</v>
      </c>
      <c r="D374" s="66" t="s">
        <v>892</v>
      </c>
      <c r="E374" s="71">
        <v>0</v>
      </c>
      <c r="F374" s="71">
        <v>0</v>
      </c>
      <c r="G374" s="72">
        <v>0</v>
      </c>
      <c r="H374" s="72">
        <v>0</v>
      </c>
    </row>
    <row r="375" spans="2:8" ht="12">
      <c r="B375" s="64">
        <v>369</v>
      </c>
      <c r="C375" s="64" t="s">
        <v>1585</v>
      </c>
      <c r="D375" s="66" t="s">
        <v>580</v>
      </c>
      <c r="E375" s="71">
        <v>0</v>
      </c>
      <c r="F375" s="71">
        <v>0</v>
      </c>
      <c r="G375" s="72">
        <v>0</v>
      </c>
      <c r="H375" s="72">
        <v>0</v>
      </c>
    </row>
    <row r="376" spans="2:8" ht="12">
      <c r="B376" s="64">
        <v>370</v>
      </c>
      <c r="C376" s="64" t="s">
        <v>2313</v>
      </c>
      <c r="D376" s="66" t="s">
        <v>2314</v>
      </c>
      <c r="E376" s="71">
        <v>0</v>
      </c>
      <c r="F376" s="71">
        <v>0</v>
      </c>
      <c r="G376" s="72">
        <v>0</v>
      </c>
      <c r="H376" s="72">
        <v>0</v>
      </c>
    </row>
    <row r="377" spans="2:8" ht="12">
      <c r="B377" s="64">
        <v>371</v>
      </c>
      <c r="C377" s="64" t="s">
        <v>2315</v>
      </c>
      <c r="D377" s="66" t="s">
        <v>2316</v>
      </c>
      <c r="E377" s="71">
        <v>0</v>
      </c>
      <c r="F377" s="71">
        <v>0</v>
      </c>
      <c r="G377" s="72">
        <v>0</v>
      </c>
      <c r="H377" s="72">
        <v>0</v>
      </c>
    </row>
    <row r="378" spans="2:8" ht="12">
      <c r="B378" s="64">
        <v>372</v>
      </c>
      <c r="C378" s="64" t="s">
        <v>1667</v>
      </c>
      <c r="D378" s="66" t="s">
        <v>2317</v>
      </c>
      <c r="E378" s="71">
        <v>0</v>
      </c>
      <c r="F378" s="71">
        <v>0</v>
      </c>
      <c r="G378" s="72">
        <v>0</v>
      </c>
      <c r="H378" s="72">
        <v>0</v>
      </c>
    </row>
    <row r="379" spans="2:8" ht="12">
      <c r="B379" s="64">
        <v>373</v>
      </c>
      <c r="C379" s="64" t="s">
        <v>893</v>
      </c>
      <c r="D379" s="66" t="s">
        <v>2318</v>
      </c>
      <c r="E379" s="71">
        <v>0</v>
      </c>
      <c r="F379" s="71">
        <v>0</v>
      </c>
      <c r="G379" s="72">
        <v>0</v>
      </c>
      <c r="H379" s="72">
        <v>0</v>
      </c>
    </row>
    <row r="380" spans="2:8" ht="12">
      <c r="B380" s="64">
        <v>374</v>
      </c>
      <c r="C380" s="64" t="s">
        <v>894</v>
      </c>
      <c r="D380" s="66" t="s">
        <v>895</v>
      </c>
      <c r="E380" s="71">
        <v>0</v>
      </c>
      <c r="F380" s="71">
        <v>0</v>
      </c>
      <c r="G380" s="72">
        <v>0</v>
      </c>
      <c r="H380" s="72">
        <v>0</v>
      </c>
    </row>
    <row r="381" spans="2:8" ht="12">
      <c r="B381" s="64">
        <v>375</v>
      </c>
      <c r="C381" s="64" t="s">
        <v>896</v>
      </c>
      <c r="D381" s="66" t="s">
        <v>2319</v>
      </c>
      <c r="E381" s="71">
        <v>0</v>
      </c>
      <c r="F381" s="71">
        <v>0</v>
      </c>
      <c r="G381" s="72">
        <v>0</v>
      </c>
      <c r="H381" s="72">
        <v>0</v>
      </c>
    </row>
    <row r="382" spans="2:8" ht="12">
      <c r="B382" s="64">
        <v>376</v>
      </c>
      <c r="C382" s="64" t="s">
        <v>897</v>
      </c>
      <c r="D382" s="66" t="s">
        <v>898</v>
      </c>
      <c r="E382" s="71">
        <v>0</v>
      </c>
      <c r="F382" s="71">
        <v>0</v>
      </c>
      <c r="G382" s="72">
        <v>0</v>
      </c>
      <c r="H382" s="72">
        <v>0</v>
      </c>
    </row>
    <row r="383" spans="2:8" ht="12">
      <c r="B383" s="64">
        <v>377</v>
      </c>
      <c r="C383" s="64" t="s">
        <v>1346</v>
      </c>
      <c r="D383" s="66" t="s">
        <v>899</v>
      </c>
      <c r="E383" s="71">
        <v>0</v>
      </c>
      <c r="F383" s="71">
        <v>0</v>
      </c>
      <c r="G383" s="72">
        <v>0</v>
      </c>
      <c r="H383" s="72">
        <v>0</v>
      </c>
    </row>
    <row r="384" spans="2:8" ht="12">
      <c r="B384" s="64">
        <v>378</v>
      </c>
      <c r="C384" s="64" t="s">
        <v>2320</v>
      </c>
      <c r="D384" s="66" t="s">
        <v>2321</v>
      </c>
      <c r="E384" s="71">
        <v>0</v>
      </c>
      <c r="F384" s="71">
        <v>0</v>
      </c>
      <c r="G384" s="72">
        <v>0</v>
      </c>
      <c r="H384" s="72">
        <v>0</v>
      </c>
    </row>
    <row r="385" spans="2:8" ht="12">
      <c r="B385" s="64">
        <v>379</v>
      </c>
      <c r="C385" s="64" t="s">
        <v>900</v>
      </c>
      <c r="D385" s="66" t="s">
        <v>2322</v>
      </c>
      <c r="E385" s="71">
        <v>0</v>
      </c>
      <c r="F385" s="71">
        <v>0</v>
      </c>
      <c r="G385" s="72">
        <v>0</v>
      </c>
      <c r="H385" s="72">
        <v>0</v>
      </c>
    </row>
    <row r="386" spans="2:8" ht="12">
      <c r="B386" s="64">
        <v>380</v>
      </c>
      <c r="C386" s="64" t="s">
        <v>1347</v>
      </c>
      <c r="D386" s="66" t="s">
        <v>2323</v>
      </c>
      <c r="E386" s="71">
        <v>0</v>
      </c>
      <c r="F386" s="71">
        <v>0</v>
      </c>
      <c r="G386" s="72">
        <v>0</v>
      </c>
      <c r="H386" s="72">
        <v>0</v>
      </c>
    </row>
    <row r="387" spans="2:8" ht="12">
      <c r="B387" s="64">
        <v>381</v>
      </c>
      <c r="C387" s="64" t="s">
        <v>581</v>
      </c>
      <c r="D387" s="66" t="s">
        <v>2324</v>
      </c>
      <c r="E387" s="71">
        <v>0</v>
      </c>
      <c r="F387" s="71">
        <v>0</v>
      </c>
      <c r="G387" s="72">
        <v>0</v>
      </c>
      <c r="H387" s="72">
        <v>0</v>
      </c>
    </row>
    <row r="388" spans="2:8" ht="12">
      <c r="B388" s="64">
        <v>382</v>
      </c>
      <c r="C388" s="64" t="s">
        <v>2325</v>
      </c>
      <c r="D388" s="66" t="s">
        <v>2326</v>
      </c>
      <c r="E388" s="71">
        <v>0</v>
      </c>
      <c r="F388" s="71">
        <v>0</v>
      </c>
      <c r="G388" s="72">
        <v>0</v>
      </c>
      <c r="H388" s="72">
        <v>0</v>
      </c>
    </row>
    <row r="389" spans="2:8" ht="12">
      <c r="B389" s="64">
        <v>383</v>
      </c>
      <c r="C389" s="64" t="s">
        <v>2327</v>
      </c>
      <c r="D389" s="66" t="s">
        <v>1348</v>
      </c>
      <c r="E389" s="71">
        <v>0</v>
      </c>
      <c r="F389" s="71">
        <v>0</v>
      </c>
      <c r="G389" s="72">
        <v>0</v>
      </c>
      <c r="H389" s="72">
        <v>0</v>
      </c>
    </row>
    <row r="390" spans="2:8" ht="12">
      <c r="B390" s="64">
        <v>384</v>
      </c>
      <c r="C390" s="64" t="s">
        <v>901</v>
      </c>
      <c r="D390" s="66" t="s">
        <v>902</v>
      </c>
      <c r="E390" s="71">
        <v>0</v>
      </c>
      <c r="F390" s="71">
        <v>0</v>
      </c>
      <c r="G390" s="72">
        <v>0</v>
      </c>
      <c r="H390" s="72">
        <v>0</v>
      </c>
    </row>
    <row r="391" spans="2:8" ht="12">
      <c r="B391" s="64">
        <v>385</v>
      </c>
      <c r="C391" s="64" t="s">
        <v>1349</v>
      </c>
      <c r="D391" s="66" t="s">
        <v>903</v>
      </c>
      <c r="E391" s="71">
        <v>0</v>
      </c>
      <c r="F391" s="71">
        <v>0</v>
      </c>
      <c r="G391" s="72">
        <v>0</v>
      </c>
      <c r="H391" s="72">
        <v>0</v>
      </c>
    </row>
    <row r="392" spans="2:8" ht="12">
      <c r="B392" s="64">
        <v>386</v>
      </c>
      <c r="C392" s="64" t="s">
        <v>1350</v>
      </c>
      <c r="D392" s="66" t="s">
        <v>904</v>
      </c>
      <c r="E392" s="71">
        <v>0</v>
      </c>
      <c r="F392" s="71">
        <v>0</v>
      </c>
      <c r="G392" s="72">
        <v>0</v>
      </c>
      <c r="H392" s="72">
        <v>0</v>
      </c>
    </row>
    <row r="393" spans="2:8" ht="12">
      <c r="B393" s="64">
        <v>387</v>
      </c>
      <c r="C393" s="64" t="s">
        <v>2328</v>
      </c>
      <c r="D393" s="66" t="s">
        <v>2329</v>
      </c>
      <c r="E393" s="71">
        <v>0</v>
      </c>
      <c r="F393" s="71">
        <v>0</v>
      </c>
      <c r="G393" s="72">
        <v>0</v>
      </c>
      <c r="H393" s="72">
        <v>0</v>
      </c>
    </row>
    <row r="394" spans="2:8" ht="12">
      <c r="B394" s="64">
        <v>388</v>
      </c>
      <c r="C394" s="64" t="s">
        <v>2330</v>
      </c>
      <c r="D394" s="66" t="s">
        <v>2331</v>
      </c>
      <c r="E394" s="71">
        <v>0</v>
      </c>
      <c r="F394" s="71">
        <v>0</v>
      </c>
      <c r="G394" s="72">
        <v>0</v>
      </c>
      <c r="H394" s="72">
        <v>0</v>
      </c>
    </row>
    <row r="395" spans="2:8" ht="12">
      <c r="B395" s="64">
        <v>389</v>
      </c>
      <c r="C395" s="64" t="s">
        <v>905</v>
      </c>
      <c r="D395" s="66" t="s">
        <v>1351</v>
      </c>
      <c r="E395" s="71">
        <v>0</v>
      </c>
      <c r="F395" s="71">
        <v>0</v>
      </c>
      <c r="G395" s="72">
        <v>0</v>
      </c>
      <c r="H395" s="72">
        <v>0</v>
      </c>
    </row>
    <row r="396" spans="2:8" ht="12">
      <c r="B396" s="64">
        <v>390</v>
      </c>
      <c r="C396" s="64" t="s">
        <v>906</v>
      </c>
      <c r="D396" s="66" t="s">
        <v>582</v>
      </c>
      <c r="E396" s="71">
        <v>0</v>
      </c>
      <c r="F396" s="71">
        <v>0</v>
      </c>
      <c r="G396" s="72">
        <v>0</v>
      </c>
      <c r="H396" s="72">
        <v>0</v>
      </c>
    </row>
    <row r="397" spans="2:8" ht="12">
      <c r="B397" s="64">
        <v>391</v>
      </c>
      <c r="C397" s="64" t="s">
        <v>1521</v>
      </c>
      <c r="D397" s="66" t="s">
        <v>907</v>
      </c>
      <c r="E397" s="71">
        <v>0</v>
      </c>
      <c r="F397" s="71">
        <v>0</v>
      </c>
      <c r="G397" s="72">
        <v>0</v>
      </c>
      <c r="H397" s="72">
        <v>0</v>
      </c>
    </row>
    <row r="398" spans="2:8" ht="12">
      <c r="B398" s="64">
        <v>392</v>
      </c>
      <c r="C398" s="64" t="s">
        <v>2332</v>
      </c>
      <c r="D398" s="66" t="s">
        <v>2333</v>
      </c>
      <c r="E398" s="71">
        <v>0</v>
      </c>
      <c r="F398" s="71">
        <v>0</v>
      </c>
      <c r="G398" s="72">
        <v>0</v>
      </c>
      <c r="H398" s="72">
        <v>0</v>
      </c>
    </row>
    <row r="399" spans="2:8" ht="12">
      <c r="B399" s="64">
        <v>393</v>
      </c>
      <c r="C399" s="64" t="s">
        <v>2334</v>
      </c>
      <c r="D399" s="66" t="s">
        <v>2335</v>
      </c>
      <c r="E399" s="71">
        <v>0</v>
      </c>
      <c r="F399" s="71">
        <v>0</v>
      </c>
      <c r="G399" s="72">
        <v>0</v>
      </c>
      <c r="H399" s="72">
        <v>0</v>
      </c>
    </row>
    <row r="400" spans="2:8" ht="12">
      <c r="B400" s="64">
        <v>394</v>
      </c>
      <c r="C400" s="64" t="s">
        <v>908</v>
      </c>
      <c r="D400" s="66" t="s">
        <v>2336</v>
      </c>
      <c r="E400" s="71">
        <v>0</v>
      </c>
      <c r="F400" s="71">
        <v>0</v>
      </c>
      <c r="G400" s="72">
        <v>0</v>
      </c>
      <c r="H400" s="72">
        <v>0</v>
      </c>
    </row>
    <row r="401" spans="2:8" ht="12">
      <c r="B401" s="64">
        <v>395</v>
      </c>
      <c r="C401" s="64" t="s">
        <v>2337</v>
      </c>
      <c r="D401" s="66" t="s">
        <v>909</v>
      </c>
      <c r="E401" s="71">
        <v>0</v>
      </c>
      <c r="F401" s="71">
        <v>0</v>
      </c>
      <c r="G401" s="72">
        <v>0</v>
      </c>
      <c r="H401" s="72">
        <v>0</v>
      </c>
    </row>
    <row r="402" spans="2:8" ht="12">
      <c r="B402" s="64">
        <v>396</v>
      </c>
      <c r="C402" s="64" t="s">
        <v>910</v>
      </c>
      <c r="D402" s="66" t="s">
        <v>911</v>
      </c>
      <c r="E402" s="71">
        <v>0</v>
      </c>
      <c r="F402" s="71">
        <v>0</v>
      </c>
      <c r="G402" s="72">
        <v>0</v>
      </c>
      <c r="H402" s="72">
        <v>0</v>
      </c>
    </row>
    <row r="403" spans="2:8" ht="12">
      <c r="B403" s="64">
        <v>397</v>
      </c>
      <c r="C403" s="64" t="s">
        <v>1352</v>
      </c>
      <c r="D403" s="66" t="s">
        <v>912</v>
      </c>
      <c r="E403" s="71">
        <v>0</v>
      </c>
      <c r="F403" s="71">
        <v>0</v>
      </c>
      <c r="G403" s="72">
        <v>0</v>
      </c>
      <c r="H403" s="72">
        <v>0</v>
      </c>
    </row>
    <row r="404" spans="2:8" ht="12">
      <c r="B404" s="64">
        <v>398</v>
      </c>
      <c r="C404" s="64" t="s">
        <v>583</v>
      </c>
      <c r="D404" s="66" t="s">
        <v>913</v>
      </c>
      <c r="E404" s="71">
        <v>0</v>
      </c>
      <c r="F404" s="71">
        <v>0</v>
      </c>
      <c r="G404" s="72">
        <v>0</v>
      </c>
      <c r="H404" s="72">
        <v>0</v>
      </c>
    </row>
    <row r="405" spans="2:8" ht="12">
      <c r="B405" s="64">
        <v>399</v>
      </c>
      <c r="C405" s="64" t="s">
        <v>2338</v>
      </c>
      <c r="D405" s="66" t="s">
        <v>914</v>
      </c>
      <c r="E405" s="71">
        <v>0</v>
      </c>
      <c r="F405" s="71">
        <v>0</v>
      </c>
      <c r="G405" s="72">
        <v>0</v>
      </c>
      <c r="H405" s="72">
        <v>0</v>
      </c>
    </row>
    <row r="406" spans="2:8" ht="12">
      <c r="B406" s="64">
        <v>400</v>
      </c>
      <c r="C406" s="64" t="s">
        <v>584</v>
      </c>
      <c r="D406" s="66" t="s">
        <v>915</v>
      </c>
      <c r="E406" s="71">
        <v>0</v>
      </c>
      <c r="F406" s="71">
        <v>0</v>
      </c>
      <c r="G406" s="72">
        <v>0</v>
      </c>
      <c r="H406" s="72">
        <v>0</v>
      </c>
    </row>
    <row r="407" spans="2:8" ht="12">
      <c r="B407" s="64">
        <v>401</v>
      </c>
      <c r="C407" s="64" t="s">
        <v>2339</v>
      </c>
      <c r="D407" s="66" t="s">
        <v>916</v>
      </c>
      <c r="E407" s="71">
        <v>0</v>
      </c>
      <c r="F407" s="71">
        <v>0</v>
      </c>
      <c r="G407" s="72">
        <v>0</v>
      </c>
      <c r="H407" s="72">
        <v>0</v>
      </c>
    </row>
    <row r="408" spans="2:8" ht="12">
      <c r="B408" s="64">
        <v>402</v>
      </c>
      <c r="C408" s="64" t="s">
        <v>2340</v>
      </c>
      <c r="D408" s="66" t="s">
        <v>917</v>
      </c>
      <c r="E408" s="71">
        <v>0</v>
      </c>
      <c r="F408" s="71">
        <v>0</v>
      </c>
      <c r="G408" s="72">
        <v>0</v>
      </c>
      <c r="H408" s="72">
        <v>0</v>
      </c>
    </row>
    <row r="409" spans="2:8" ht="12">
      <c r="B409" s="64">
        <v>403</v>
      </c>
      <c r="C409" s="64" t="s">
        <v>2341</v>
      </c>
      <c r="D409" s="66" t="s">
        <v>918</v>
      </c>
      <c r="E409" s="71">
        <v>0</v>
      </c>
      <c r="F409" s="71">
        <v>0</v>
      </c>
      <c r="G409" s="72">
        <v>0</v>
      </c>
      <c r="H409" s="72">
        <v>0</v>
      </c>
    </row>
    <row r="410" spans="2:8" ht="12">
      <c r="B410" s="64">
        <v>404</v>
      </c>
      <c r="C410" s="64" t="s">
        <v>2342</v>
      </c>
      <c r="D410" s="66" t="s">
        <v>585</v>
      </c>
      <c r="E410" s="71">
        <v>0</v>
      </c>
      <c r="F410" s="71">
        <v>0</v>
      </c>
      <c r="G410" s="72">
        <v>0</v>
      </c>
      <c r="H410" s="72">
        <v>0</v>
      </c>
    </row>
    <row r="411" spans="2:8" ht="12">
      <c r="B411" s="64">
        <v>405</v>
      </c>
      <c r="C411" s="64" t="s">
        <v>1668</v>
      </c>
      <c r="D411" s="66" t="s">
        <v>2343</v>
      </c>
      <c r="E411" s="71">
        <v>0</v>
      </c>
      <c r="F411" s="71">
        <v>0</v>
      </c>
      <c r="G411" s="72">
        <v>0</v>
      </c>
      <c r="H411" s="72">
        <v>0</v>
      </c>
    </row>
    <row r="412" spans="2:8" ht="12">
      <c r="B412" s="64">
        <v>406</v>
      </c>
      <c r="C412" s="64" t="s">
        <v>919</v>
      </c>
      <c r="D412" s="66" t="s">
        <v>2344</v>
      </c>
      <c r="E412" s="71">
        <v>0</v>
      </c>
      <c r="F412" s="71">
        <v>0</v>
      </c>
      <c r="G412" s="72">
        <v>0</v>
      </c>
      <c r="H412" s="72">
        <v>0</v>
      </c>
    </row>
    <row r="413" spans="2:8" ht="12">
      <c r="B413" s="64">
        <v>407</v>
      </c>
      <c r="C413" s="64" t="s">
        <v>2345</v>
      </c>
      <c r="D413" s="66" t="s">
        <v>2346</v>
      </c>
      <c r="E413" s="71">
        <v>0</v>
      </c>
      <c r="F413" s="71">
        <v>0</v>
      </c>
      <c r="G413" s="72">
        <v>0</v>
      </c>
      <c r="H413" s="72">
        <v>0</v>
      </c>
    </row>
    <row r="414" spans="2:8" ht="12">
      <c r="B414" s="64">
        <v>408</v>
      </c>
      <c r="C414" s="64" t="s">
        <v>920</v>
      </c>
      <c r="D414" s="66" t="s">
        <v>921</v>
      </c>
      <c r="E414" s="71">
        <v>0</v>
      </c>
      <c r="F414" s="71">
        <v>0</v>
      </c>
      <c r="G414" s="72">
        <v>0</v>
      </c>
      <c r="H414" s="72">
        <v>0</v>
      </c>
    </row>
    <row r="415" spans="2:8" ht="12">
      <c r="B415" s="64">
        <v>409</v>
      </c>
      <c r="C415" s="64" t="s">
        <v>922</v>
      </c>
      <c r="D415" s="66" t="s">
        <v>923</v>
      </c>
      <c r="E415" s="71">
        <v>0</v>
      </c>
      <c r="F415" s="71">
        <v>0</v>
      </c>
      <c r="G415" s="72">
        <v>0</v>
      </c>
      <c r="H415" s="72">
        <v>0</v>
      </c>
    </row>
    <row r="416" spans="2:8" ht="12">
      <c r="B416" s="64">
        <v>410</v>
      </c>
      <c r="C416" s="64" t="s">
        <v>1669</v>
      </c>
      <c r="D416" s="66" t="s">
        <v>2347</v>
      </c>
      <c r="E416" s="71">
        <v>0</v>
      </c>
      <c r="F416" s="71">
        <v>0</v>
      </c>
      <c r="G416" s="72">
        <v>0</v>
      </c>
      <c r="H416" s="72">
        <v>0</v>
      </c>
    </row>
    <row r="417" spans="2:8" ht="12">
      <c r="B417" s="64">
        <v>411</v>
      </c>
      <c r="C417" s="64" t="s">
        <v>924</v>
      </c>
      <c r="D417" s="66" t="s">
        <v>925</v>
      </c>
      <c r="E417" s="71">
        <v>0</v>
      </c>
      <c r="F417" s="71">
        <v>0</v>
      </c>
      <c r="G417" s="72">
        <v>0</v>
      </c>
      <c r="H417" s="72">
        <v>0</v>
      </c>
    </row>
    <row r="418" spans="2:8" ht="12">
      <c r="B418" s="64">
        <v>412</v>
      </c>
      <c r="C418" s="64" t="s">
        <v>926</v>
      </c>
      <c r="D418" s="66" t="s">
        <v>927</v>
      </c>
      <c r="E418" s="71">
        <v>0</v>
      </c>
      <c r="F418" s="71">
        <v>0</v>
      </c>
      <c r="G418" s="72">
        <v>0</v>
      </c>
      <c r="H418" s="72">
        <v>0</v>
      </c>
    </row>
    <row r="419" spans="2:8" ht="12">
      <c r="B419" s="64">
        <v>413</v>
      </c>
      <c r="C419" s="64" t="s">
        <v>1353</v>
      </c>
      <c r="D419" s="66" t="s">
        <v>2348</v>
      </c>
      <c r="E419" s="71">
        <v>0</v>
      </c>
      <c r="F419" s="71">
        <v>0</v>
      </c>
      <c r="G419" s="72">
        <v>0</v>
      </c>
      <c r="H419" s="72">
        <v>0</v>
      </c>
    </row>
    <row r="420" spans="2:8" ht="12">
      <c r="B420" s="64">
        <v>414</v>
      </c>
      <c r="C420" s="64" t="s">
        <v>586</v>
      </c>
      <c r="D420" s="66" t="s">
        <v>1586</v>
      </c>
      <c r="E420" s="71">
        <v>0</v>
      </c>
      <c r="F420" s="71">
        <v>0</v>
      </c>
      <c r="G420" s="72">
        <v>0</v>
      </c>
      <c r="H420" s="72">
        <v>0</v>
      </c>
    </row>
    <row r="421" spans="2:8" ht="12">
      <c r="B421" s="64">
        <v>415</v>
      </c>
      <c r="C421" s="64" t="s">
        <v>2349</v>
      </c>
      <c r="D421" s="66" t="s">
        <v>2350</v>
      </c>
      <c r="E421" s="71">
        <v>0</v>
      </c>
      <c r="F421" s="71">
        <v>0</v>
      </c>
      <c r="G421" s="72">
        <v>0</v>
      </c>
      <c r="H421" s="72">
        <v>0</v>
      </c>
    </row>
    <row r="422" spans="2:8" ht="12">
      <c r="B422" s="64">
        <v>416</v>
      </c>
      <c r="C422" s="64" t="s">
        <v>2351</v>
      </c>
      <c r="D422" s="66" t="s">
        <v>928</v>
      </c>
      <c r="E422" s="71">
        <v>0</v>
      </c>
      <c r="F422" s="71">
        <v>0</v>
      </c>
      <c r="G422" s="72">
        <v>0</v>
      </c>
      <c r="H422" s="72">
        <v>0</v>
      </c>
    </row>
    <row r="423" spans="2:8" ht="12">
      <c r="B423" s="64">
        <v>417</v>
      </c>
      <c r="C423" s="64" t="s">
        <v>2352</v>
      </c>
      <c r="D423" s="66" t="s">
        <v>2353</v>
      </c>
      <c r="E423" s="71">
        <v>0</v>
      </c>
      <c r="F423" s="71">
        <v>0</v>
      </c>
      <c r="G423" s="72">
        <v>0</v>
      </c>
      <c r="H423" s="72">
        <v>0</v>
      </c>
    </row>
    <row r="424" spans="2:8" ht="12">
      <c r="B424" s="64">
        <v>418</v>
      </c>
      <c r="C424" s="64" t="s">
        <v>929</v>
      </c>
      <c r="D424" s="66" t="s">
        <v>1354</v>
      </c>
      <c r="E424" s="71">
        <v>0</v>
      </c>
      <c r="F424" s="71">
        <v>0</v>
      </c>
      <c r="G424" s="72">
        <v>0</v>
      </c>
      <c r="H424" s="72">
        <v>0</v>
      </c>
    </row>
    <row r="425" spans="2:8" ht="12">
      <c r="B425" s="64">
        <v>419</v>
      </c>
      <c r="C425" s="64" t="s">
        <v>930</v>
      </c>
      <c r="D425" s="66" t="s">
        <v>587</v>
      </c>
      <c r="E425" s="71">
        <v>0</v>
      </c>
      <c r="F425" s="71">
        <v>0</v>
      </c>
      <c r="G425" s="72">
        <v>0</v>
      </c>
      <c r="H425" s="72">
        <v>0</v>
      </c>
    </row>
    <row r="426" spans="2:8" ht="12">
      <c r="B426" s="64">
        <v>420</v>
      </c>
      <c r="C426" s="64" t="s">
        <v>2354</v>
      </c>
      <c r="D426" s="66" t="s">
        <v>1355</v>
      </c>
      <c r="E426" s="71">
        <v>0</v>
      </c>
      <c r="F426" s="71">
        <v>0</v>
      </c>
      <c r="G426" s="72">
        <v>0</v>
      </c>
      <c r="H426" s="72">
        <v>0</v>
      </c>
    </row>
    <row r="427" spans="2:8" ht="12">
      <c r="B427" s="64">
        <v>421</v>
      </c>
      <c r="C427" s="64" t="s">
        <v>931</v>
      </c>
      <c r="D427" s="66" t="s">
        <v>932</v>
      </c>
      <c r="E427" s="71">
        <v>0</v>
      </c>
      <c r="F427" s="71">
        <v>0</v>
      </c>
      <c r="G427" s="72">
        <v>0</v>
      </c>
      <c r="H427" s="72">
        <v>0</v>
      </c>
    </row>
    <row r="428" spans="2:8" ht="12">
      <c r="B428" s="64">
        <v>422</v>
      </c>
      <c r="C428" s="64" t="s">
        <v>933</v>
      </c>
      <c r="D428" s="66" t="s">
        <v>934</v>
      </c>
      <c r="E428" s="71">
        <v>0</v>
      </c>
      <c r="F428" s="71">
        <v>0</v>
      </c>
      <c r="G428" s="72">
        <v>0</v>
      </c>
      <c r="H428" s="72">
        <v>0</v>
      </c>
    </row>
    <row r="429" spans="2:8" ht="12">
      <c r="B429" s="64">
        <v>423</v>
      </c>
      <c r="C429" s="64" t="s">
        <v>2355</v>
      </c>
      <c r="D429" s="66" t="s">
        <v>2356</v>
      </c>
      <c r="E429" s="71">
        <v>0</v>
      </c>
      <c r="F429" s="71">
        <v>0</v>
      </c>
      <c r="G429" s="72">
        <v>0</v>
      </c>
      <c r="H429" s="72">
        <v>0</v>
      </c>
    </row>
    <row r="430" spans="2:8" ht="12">
      <c r="B430" s="64">
        <v>424</v>
      </c>
      <c r="C430" s="64" t="s">
        <v>935</v>
      </c>
      <c r="D430" s="66" t="s">
        <v>936</v>
      </c>
      <c r="E430" s="71">
        <v>0</v>
      </c>
      <c r="F430" s="71">
        <v>0</v>
      </c>
      <c r="G430" s="72">
        <v>0</v>
      </c>
      <c r="H430" s="72">
        <v>0</v>
      </c>
    </row>
    <row r="431" spans="2:8" ht="12">
      <c r="B431" s="64">
        <v>425</v>
      </c>
      <c r="C431" s="64" t="s">
        <v>937</v>
      </c>
      <c r="D431" s="66" t="s">
        <v>2357</v>
      </c>
      <c r="E431" s="71">
        <v>0</v>
      </c>
      <c r="F431" s="71">
        <v>0</v>
      </c>
      <c r="G431" s="72">
        <v>0</v>
      </c>
      <c r="H431" s="72">
        <v>0</v>
      </c>
    </row>
    <row r="432" spans="2:8" ht="12">
      <c r="B432" s="64">
        <v>426</v>
      </c>
      <c r="C432" s="64" t="s">
        <v>2358</v>
      </c>
      <c r="D432" s="66" t="s">
        <v>588</v>
      </c>
      <c r="E432" s="71">
        <v>0</v>
      </c>
      <c r="F432" s="71">
        <v>0</v>
      </c>
      <c r="G432" s="72">
        <v>0</v>
      </c>
      <c r="H432" s="72">
        <v>0</v>
      </c>
    </row>
    <row r="433" spans="2:8" ht="12">
      <c r="B433" s="64">
        <v>427</v>
      </c>
      <c r="C433" s="64" t="s">
        <v>938</v>
      </c>
      <c r="D433" s="66" t="s">
        <v>2359</v>
      </c>
      <c r="E433" s="71">
        <v>0</v>
      </c>
      <c r="F433" s="71">
        <v>0</v>
      </c>
      <c r="G433" s="72">
        <v>0</v>
      </c>
      <c r="H433" s="72">
        <v>0</v>
      </c>
    </row>
    <row r="434" spans="2:8" ht="12">
      <c r="B434" s="64">
        <v>428</v>
      </c>
      <c r="C434" s="64" t="s">
        <v>2360</v>
      </c>
      <c r="D434" s="66" t="s">
        <v>2361</v>
      </c>
      <c r="E434" s="71">
        <v>0</v>
      </c>
      <c r="F434" s="71">
        <v>0</v>
      </c>
      <c r="G434" s="72">
        <v>0</v>
      </c>
      <c r="H434" s="72">
        <v>0</v>
      </c>
    </row>
    <row r="435" spans="2:8" ht="12">
      <c r="B435" s="64">
        <v>429</v>
      </c>
      <c r="C435" s="64" t="s">
        <v>939</v>
      </c>
      <c r="D435" s="66" t="s">
        <v>2362</v>
      </c>
      <c r="E435" s="71">
        <v>0</v>
      </c>
      <c r="F435" s="71">
        <v>0</v>
      </c>
      <c r="G435" s="72">
        <v>0</v>
      </c>
      <c r="H435" s="72">
        <v>0</v>
      </c>
    </row>
    <row r="436" spans="2:8" ht="12">
      <c r="B436" s="64">
        <v>430</v>
      </c>
      <c r="C436" s="64" t="s">
        <v>940</v>
      </c>
      <c r="D436" s="66" t="s">
        <v>2363</v>
      </c>
      <c r="E436" s="71">
        <v>0</v>
      </c>
      <c r="F436" s="71">
        <v>0</v>
      </c>
      <c r="G436" s="72">
        <v>0</v>
      </c>
      <c r="H436" s="72">
        <v>0</v>
      </c>
    </row>
    <row r="437" spans="2:8" ht="12">
      <c r="B437" s="64">
        <v>431</v>
      </c>
      <c r="C437" s="64" t="s">
        <v>589</v>
      </c>
      <c r="D437" s="66" t="s">
        <v>2364</v>
      </c>
      <c r="E437" s="71">
        <v>0</v>
      </c>
      <c r="F437" s="71">
        <v>0</v>
      </c>
      <c r="G437" s="72">
        <v>0</v>
      </c>
      <c r="H437" s="72">
        <v>0</v>
      </c>
    </row>
    <row r="438" spans="2:8" ht="12">
      <c r="B438" s="64">
        <v>432</v>
      </c>
      <c r="C438" s="64" t="s">
        <v>2365</v>
      </c>
      <c r="D438" s="66" t="s">
        <v>2366</v>
      </c>
      <c r="E438" s="71">
        <v>0</v>
      </c>
      <c r="F438" s="71">
        <v>0</v>
      </c>
      <c r="G438" s="72">
        <v>0</v>
      </c>
      <c r="H438" s="72">
        <v>0</v>
      </c>
    </row>
    <row r="439" spans="2:8" ht="12">
      <c r="B439" s="64">
        <v>433</v>
      </c>
      <c r="C439" s="64" t="s">
        <v>2367</v>
      </c>
      <c r="D439" s="66" t="s">
        <v>941</v>
      </c>
      <c r="E439" s="71">
        <v>0</v>
      </c>
      <c r="F439" s="71">
        <v>0</v>
      </c>
      <c r="G439" s="72">
        <v>0</v>
      </c>
      <c r="H439" s="72">
        <v>0</v>
      </c>
    </row>
    <row r="440" spans="2:8" ht="12">
      <c r="B440" s="64">
        <v>434</v>
      </c>
      <c r="C440" s="64" t="s">
        <v>942</v>
      </c>
      <c r="D440" s="66" t="s">
        <v>943</v>
      </c>
      <c r="E440" s="71">
        <v>0</v>
      </c>
      <c r="F440" s="71">
        <v>0</v>
      </c>
      <c r="G440" s="72">
        <v>0</v>
      </c>
      <c r="H440" s="72">
        <v>0</v>
      </c>
    </row>
    <row r="441" spans="2:8" ht="12">
      <c r="B441" s="64">
        <v>435</v>
      </c>
      <c r="C441" s="64" t="s">
        <v>944</v>
      </c>
      <c r="D441" s="66" t="s">
        <v>945</v>
      </c>
      <c r="E441" s="71">
        <v>0</v>
      </c>
      <c r="F441" s="71">
        <v>0</v>
      </c>
      <c r="G441" s="72">
        <v>0</v>
      </c>
      <c r="H441" s="72">
        <v>0</v>
      </c>
    </row>
    <row r="442" spans="2:8" ht="12">
      <c r="B442" s="64">
        <v>436</v>
      </c>
      <c r="C442" s="64" t="s">
        <v>946</v>
      </c>
      <c r="D442" s="66" t="s">
        <v>947</v>
      </c>
      <c r="E442" s="71">
        <v>0</v>
      </c>
      <c r="F442" s="71">
        <v>0</v>
      </c>
      <c r="G442" s="72">
        <v>0</v>
      </c>
      <c r="H442" s="72">
        <v>0</v>
      </c>
    </row>
    <row r="443" spans="2:8" ht="12">
      <c r="B443" s="64">
        <v>437</v>
      </c>
      <c r="C443" s="64" t="s">
        <v>2368</v>
      </c>
      <c r="D443" s="66" t="s">
        <v>2369</v>
      </c>
      <c r="E443" s="71">
        <v>0</v>
      </c>
      <c r="F443" s="71">
        <v>0</v>
      </c>
      <c r="G443" s="72">
        <v>0</v>
      </c>
      <c r="H443" s="72">
        <v>0</v>
      </c>
    </row>
    <row r="444" spans="2:8" ht="12">
      <c r="B444" s="64">
        <v>438</v>
      </c>
      <c r="C444" s="64" t="s">
        <v>2370</v>
      </c>
      <c r="D444" s="66" t="s">
        <v>948</v>
      </c>
      <c r="E444" s="71">
        <v>0</v>
      </c>
      <c r="F444" s="71">
        <v>0</v>
      </c>
      <c r="G444" s="72">
        <v>0</v>
      </c>
      <c r="H444" s="72">
        <v>0</v>
      </c>
    </row>
    <row r="445" spans="2:8" ht="12">
      <c r="B445" s="64">
        <v>439</v>
      </c>
      <c r="C445" s="64" t="s">
        <v>1670</v>
      </c>
      <c r="D445" s="66" t="s">
        <v>2371</v>
      </c>
      <c r="E445" s="71">
        <v>0</v>
      </c>
      <c r="F445" s="71">
        <v>0</v>
      </c>
      <c r="G445" s="72">
        <v>0</v>
      </c>
      <c r="H445" s="72">
        <v>0</v>
      </c>
    </row>
    <row r="446" spans="2:8" ht="12">
      <c r="B446" s="64">
        <v>440</v>
      </c>
      <c r="C446" s="64" t="s">
        <v>2372</v>
      </c>
      <c r="D446" s="66" t="s">
        <v>2373</v>
      </c>
      <c r="E446" s="71">
        <v>0</v>
      </c>
      <c r="F446" s="71">
        <v>0</v>
      </c>
      <c r="G446" s="72">
        <v>0</v>
      </c>
      <c r="H446" s="72">
        <v>0</v>
      </c>
    </row>
    <row r="447" spans="2:8" ht="12">
      <c r="B447" s="64">
        <v>441</v>
      </c>
      <c r="C447" s="64" t="s">
        <v>949</v>
      </c>
      <c r="D447" s="66" t="s">
        <v>1888</v>
      </c>
      <c r="E447" s="71">
        <v>0</v>
      </c>
      <c r="F447" s="71">
        <v>0</v>
      </c>
      <c r="G447" s="72">
        <v>0</v>
      </c>
      <c r="H447" s="72">
        <v>0</v>
      </c>
    </row>
    <row r="448" spans="2:8" ht="12">
      <c r="B448" s="64">
        <v>442</v>
      </c>
      <c r="C448" s="64" t="s">
        <v>950</v>
      </c>
      <c r="D448" s="66" t="s">
        <v>951</v>
      </c>
      <c r="E448" s="71">
        <v>0</v>
      </c>
      <c r="F448" s="71">
        <v>0</v>
      </c>
      <c r="G448" s="72">
        <v>0</v>
      </c>
      <c r="H448" s="72">
        <v>0</v>
      </c>
    </row>
    <row r="449" spans="2:8" ht="12">
      <c r="B449" s="64">
        <v>443</v>
      </c>
      <c r="C449" s="64" t="s">
        <v>2374</v>
      </c>
      <c r="D449" s="66" t="s">
        <v>952</v>
      </c>
      <c r="E449" s="71">
        <v>0</v>
      </c>
      <c r="F449" s="71">
        <v>0</v>
      </c>
      <c r="G449" s="72">
        <v>0</v>
      </c>
      <c r="H449" s="72">
        <v>0</v>
      </c>
    </row>
    <row r="450" spans="2:8" ht="12">
      <c r="B450" s="64">
        <v>444</v>
      </c>
      <c r="C450" s="64" t="s">
        <v>953</v>
      </c>
      <c r="D450" s="66" t="s">
        <v>1356</v>
      </c>
      <c r="E450" s="71">
        <v>0</v>
      </c>
      <c r="F450" s="71">
        <v>0</v>
      </c>
      <c r="G450" s="72">
        <v>0</v>
      </c>
      <c r="H450" s="72">
        <v>0</v>
      </c>
    </row>
    <row r="451" spans="2:8" ht="12">
      <c r="B451" s="64">
        <v>445</v>
      </c>
      <c r="C451" s="64" t="s">
        <v>954</v>
      </c>
      <c r="D451" s="66" t="s">
        <v>2375</v>
      </c>
      <c r="E451" s="71">
        <v>0</v>
      </c>
      <c r="F451" s="71">
        <v>0</v>
      </c>
      <c r="G451" s="72">
        <v>0</v>
      </c>
      <c r="H451" s="72">
        <v>0</v>
      </c>
    </row>
    <row r="452" spans="2:8" ht="12">
      <c r="B452" s="64">
        <v>446</v>
      </c>
      <c r="C452" s="64" t="s">
        <v>590</v>
      </c>
      <c r="D452" s="66" t="s">
        <v>955</v>
      </c>
      <c r="E452" s="71">
        <v>0</v>
      </c>
      <c r="F452" s="71">
        <v>0</v>
      </c>
      <c r="G452" s="72">
        <v>0</v>
      </c>
      <c r="H452" s="72">
        <v>0</v>
      </c>
    </row>
    <row r="453" spans="2:8" ht="12">
      <c r="B453" s="64">
        <v>447</v>
      </c>
      <c r="C453" s="64" t="s">
        <v>956</v>
      </c>
      <c r="D453" s="66" t="s">
        <v>957</v>
      </c>
      <c r="E453" s="71">
        <v>0</v>
      </c>
      <c r="F453" s="71">
        <v>0</v>
      </c>
      <c r="G453" s="72">
        <v>0</v>
      </c>
      <c r="H453" s="72">
        <v>0</v>
      </c>
    </row>
    <row r="454" spans="2:8" ht="12">
      <c r="B454" s="64">
        <v>448</v>
      </c>
      <c r="C454" s="64" t="s">
        <v>2376</v>
      </c>
      <c r="D454" s="66" t="s">
        <v>591</v>
      </c>
      <c r="E454" s="71">
        <v>0</v>
      </c>
      <c r="F454" s="71">
        <v>0</v>
      </c>
      <c r="G454" s="72">
        <v>0</v>
      </c>
      <c r="H454" s="72">
        <v>0</v>
      </c>
    </row>
    <row r="455" spans="2:8" ht="12">
      <c r="B455" s="64">
        <v>449</v>
      </c>
      <c r="C455" s="64" t="s">
        <v>958</v>
      </c>
      <c r="D455" s="66" t="s">
        <v>2377</v>
      </c>
      <c r="E455" s="71">
        <v>0</v>
      </c>
      <c r="F455" s="71">
        <v>0</v>
      </c>
      <c r="G455" s="72">
        <v>0</v>
      </c>
      <c r="H455" s="72">
        <v>0</v>
      </c>
    </row>
    <row r="456" spans="2:8" ht="12">
      <c r="B456" s="64">
        <v>450</v>
      </c>
      <c r="C456" s="64" t="s">
        <v>959</v>
      </c>
      <c r="D456" s="66" t="s">
        <v>592</v>
      </c>
      <c r="E456" s="71">
        <v>0</v>
      </c>
      <c r="F456" s="71">
        <v>0</v>
      </c>
      <c r="G456" s="72">
        <v>0</v>
      </c>
      <c r="H456" s="72">
        <v>0</v>
      </c>
    </row>
    <row r="457" spans="2:8" ht="12">
      <c r="B457" s="64">
        <v>451</v>
      </c>
      <c r="C457" s="64" t="s">
        <v>960</v>
      </c>
      <c r="D457" s="66" t="s">
        <v>1671</v>
      </c>
      <c r="E457" s="71">
        <v>0</v>
      </c>
      <c r="F457" s="71">
        <v>0</v>
      </c>
      <c r="G457" s="72">
        <v>0</v>
      </c>
      <c r="H457" s="72">
        <v>0</v>
      </c>
    </row>
    <row r="458" spans="2:8" ht="12">
      <c r="B458" s="64">
        <v>452</v>
      </c>
      <c r="C458" s="64" t="s">
        <v>2378</v>
      </c>
      <c r="D458" s="66" t="s">
        <v>2379</v>
      </c>
      <c r="E458" s="71">
        <v>0</v>
      </c>
      <c r="F458" s="71">
        <v>0</v>
      </c>
      <c r="G458" s="72">
        <v>0</v>
      </c>
      <c r="H458" s="72">
        <v>0</v>
      </c>
    </row>
    <row r="459" spans="2:8" ht="12">
      <c r="B459" s="64">
        <v>453</v>
      </c>
      <c r="C459" s="64" t="s">
        <v>961</v>
      </c>
      <c r="D459" s="66" t="s">
        <v>2380</v>
      </c>
      <c r="E459" s="71">
        <v>0</v>
      </c>
      <c r="F459" s="71">
        <v>0</v>
      </c>
      <c r="G459" s="72">
        <v>0</v>
      </c>
      <c r="H459" s="72">
        <v>0</v>
      </c>
    </row>
    <row r="460" spans="2:8" ht="12">
      <c r="B460" s="64">
        <v>454</v>
      </c>
      <c r="C460" s="64" t="s">
        <v>2381</v>
      </c>
      <c r="D460" s="66" t="s">
        <v>2382</v>
      </c>
      <c r="E460" s="71">
        <v>0</v>
      </c>
      <c r="F460" s="71">
        <v>0</v>
      </c>
      <c r="G460" s="72">
        <v>0</v>
      </c>
      <c r="H460" s="72">
        <v>0</v>
      </c>
    </row>
    <row r="461" spans="2:8" ht="12">
      <c r="B461" s="64">
        <v>455</v>
      </c>
      <c r="C461" s="64" t="s">
        <v>2383</v>
      </c>
      <c r="D461" s="66" t="s">
        <v>2384</v>
      </c>
      <c r="E461" s="71">
        <v>0</v>
      </c>
      <c r="F461" s="71">
        <v>0</v>
      </c>
      <c r="G461" s="72">
        <v>0</v>
      </c>
      <c r="H461" s="72">
        <v>0</v>
      </c>
    </row>
    <row r="462" spans="2:8" ht="12">
      <c r="B462" s="64">
        <v>456</v>
      </c>
      <c r="C462" s="64" t="s">
        <v>962</v>
      </c>
      <c r="D462" s="66" t="s">
        <v>593</v>
      </c>
      <c r="E462" s="71">
        <v>0</v>
      </c>
      <c r="F462" s="71">
        <v>0</v>
      </c>
      <c r="G462" s="72">
        <v>0</v>
      </c>
      <c r="H462" s="72">
        <v>0</v>
      </c>
    </row>
    <row r="463" spans="2:8" ht="12">
      <c r="B463" s="64">
        <v>457</v>
      </c>
      <c r="C463" s="64" t="s">
        <v>1357</v>
      </c>
      <c r="D463" s="66" t="s">
        <v>1358</v>
      </c>
      <c r="E463" s="71">
        <v>0</v>
      </c>
      <c r="F463" s="71">
        <v>0</v>
      </c>
      <c r="G463" s="72">
        <v>0</v>
      </c>
      <c r="H463" s="72">
        <v>0</v>
      </c>
    </row>
    <row r="464" spans="2:8" ht="12">
      <c r="B464" s="64">
        <v>458</v>
      </c>
      <c r="C464" s="64" t="s">
        <v>1359</v>
      </c>
      <c r="D464" s="66" t="s">
        <v>963</v>
      </c>
      <c r="E464" s="71">
        <v>0</v>
      </c>
      <c r="F464" s="71">
        <v>0</v>
      </c>
      <c r="G464" s="72">
        <v>0</v>
      </c>
      <c r="H464" s="72">
        <v>0</v>
      </c>
    </row>
    <row r="465" spans="2:8" ht="12">
      <c r="B465" s="64">
        <v>459</v>
      </c>
      <c r="C465" s="64" t="s">
        <v>964</v>
      </c>
      <c r="D465" s="66" t="s">
        <v>965</v>
      </c>
      <c r="E465" s="71">
        <v>0</v>
      </c>
      <c r="F465" s="71">
        <v>0</v>
      </c>
      <c r="G465" s="72">
        <v>0</v>
      </c>
      <c r="H465" s="72">
        <v>0</v>
      </c>
    </row>
    <row r="466" spans="2:8" ht="12">
      <c r="B466" s="64">
        <v>460</v>
      </c>
      <c r="C466" s="64" t="s">
        <v>1587</v>
      </c>
      <c r="D466" s="66" t="s">
        <v>1672</v>
      </c>
      <c r="E466" s="71">
        <v>0</v>
      </c>
      <c r="F466" s="71">
        <v>0</v>
      </c>
      <c r="G466" s="72">
        <v>0</v>
      </c>
      <c r="H466" s="72">
        <v>0</v>
      </c>
    </row>
    <row r="467" spans="2:8" ht="12">
      <c r="B467" s="64">
        <v>461</v>
      </c>
      <c r="C467" s="64" t="s">
        <v>2385</v>
      </c>
      <c r="D467" s="66" t="s">
        <v>2386</v>
      </c>
      <c r="E467" s="71">
        <v>0</v>
      </c>
      <c r="F467" s="71">
        <v>0</v>
      </c>
      <c r="G467" s="72">
        <v>0</v>
      </c>
      <c r="H467" s="72">
        <v>0</v>
      </c>
    </row>
    <row r="468" spans="2:8" ht="12">
      <c r="B468" s="64">
        <v>462</v>
      </c>
      <c r="C468" s="64" t="s">
        <v>2387</v>
      </c>
      <c r="D468" s="66" t="s">
        <v>2388</v>
      </c>
      <c r="E468" s="71">
        <v>0</v>
      </c>
      <c r="F468" s="71">
        <v>0</v>
      </c>
      <c r="G468" s="72">
        <v>0</v>
      </c>
      <c r="H468" s="72">
        <v>0</v>
      </c>
    </row>
    <row r="469" spans="2:8" ht="12">
      <c r="B469" s="64">
        <v>463</v>
      </c>
      <c r="C469" s="64" t="s">
        <v>1360</v>
      </c>
      <c r="D469" s="66" t="s">
        <v>1673</v>
      </c>
      <c r="E469" s="71">
        <v>0</v>
      </c>
      <c r="F469" s="71">
        <v>0</v>
      </c>
      <c r="G469" s="72">
        <v>0</v>
      </c>
      <c r="H469" s="72">
        <v>0</v>
      </c>
    </row>
    <row r="470" spans="2:8" ht="12">
      <c r="B470" s="64">
        <v>464</v>
      </c>
      <c r="C470" s="64" t="s">
        <v>966</v>
      </c>
      <c r="D470" s="66" t="s">
        <v>594</v>
      </c>
      <c r="E470" s="71">
        <v>0</v>
      </c>
      <c r="F470" s="71">
        <v>0</v>
      </c>
      <c r="G470" s="72">
        <v>0</v>
      </c>
      <c r="H470" s="72">
        <v>0</v>
      </c>
    </row>
    <row r="471" spans="2:8" ht="12">
      <c r="B471" s="64">
        <v>465</v>
      </c>
      <c r="C471" s="64" t="s">
        <v>967</v>
      </c>
      <c r="D471" s="66" t="s">
        <v>968</v>
      </c>
      <c r="E471" s="71">
        <v>0</v>
      </c>
      <c r="F471" s="71">
        <v>0</v>
      </c>
      <c r="G471" s="72">
        <v>0</v>
      </c>
      <c r="H471" s="72">
        <v>0</v>
      </c>
    </row>
    <row r="472" spans="2:8" ht="12">
      <c r="B472" s="64">
        <v>466</v>
      </c>
      <c r="C472" s="64" t="s">
        <v>2389</v>
      </c>
      <c r="D472" s="66" t="s">
        <v>2390</v>
      </c>
      <c r="E472" s="71">
        <v>0</v>
      </c>
      <c r="F472" s="71">
        <v>0</v>
      </c>
      <c r="G472" s="72">
        <v>0</v>
      </c>
      <c r="H472" s="72">
        <v>0</v>
      </c>
    </row>
    <row r="473" spans="2:8" ht="12">
      <c r="B473" s="64">
        <v>467</v>
      </c>
      <c r="C473" s="64" t="s">
        <v>2391</v>
      </c>
      <c r="D473" s="66" t="s">
        <v>969</v>
      </c>
      <c r="E473" s="71">
        <v>0</v>
      </c>
      <c r="F473" s="71">
        <v>0</v>
      </c>
      <c r="G473" s="72">
        <v>0</v>
      </c>
      <c r="H473" s="72">
        <v>0</v>
      </c>
    </row>
    <row r="474" spans="2:8" ht="12">
      <c r="B474" s="64">
        <v>468</v>
      </c>
      <c r="C474" s="64" t="s">
        <v>970</v>
      </c>
      <c r="D474" s="66" t="s">
        <v>971</v>
      </c>
      <c r="E474" s="71">
        <v>0</v>
      </c>
      <c r="F474" s="71">
        <v>0</v>
      </c>
      <c r="G474" s="72">
        <v>0</v>
      </c>
      <c r="H474" s="72">
        <v>0</v>
      </c>
    </row>
    <row r="475" spans="2:8" ht="12">
      <c r="B475" s="64">
        <v>469</v>
      </c>
      <c r="C475" s="64" t="s">
        <v>2392</v>
      </c>
      <c r="D475" s="66" t="s">
        <v>2393</v>
      </c>
      <c r="E475" s="71">
        <v>0</v>
      </c>
      <c r="F475" s="71">
        <v>0</v>
      </c>
      <c r="G475" s="72">
        <v>0</v>
      </c>
      <c r="H475" s="72">
        <v>0</v>
      </c>
    </row>
    <row r="476" spans="2:8" ht="12">
      <c r="B476" s="64">
        <v>470</v>
      </c>
      <c r="C476" s="64" t="s">
        <v>1361</v>
      </c>
      <c r="D476" s="66" t="s">
        <v>972</v>
      </c>
      <c r="E476" s="71">
        <v>0</v>
      </c>
      <c r="F476" s="71">
        <v>0</v>
      </c>
      <c r="G476" s="72">
        <v>0</v>
      </c>
      <c r="H476" s="72">
        <v>0</v>
      </c>
    </row>
    <row r="477" spans="2:8" ht="12">
      <c r="B477" s="64">
        <v>471</v>
      </c>
      <c r="C477" s="64" t="s">
        <v>1362</v>
      </c>
      <c r="D477" s="66" t="s">
        <v>2394</v>
      </c>
      <c r="E477" s="71">
        <v>0</v>
      </c>
      <c r="F477" s="71">
        <v>0</v>
      </c>
      <c r="G477" s="72">
        <v>0</v>
      </c>
      <c r="H477" s="72">
        <v>0</v>
      </c>
    </row>
    <row r="478" spans="2:8" ht="12">
      <c r="B478" s="64">
        <v>472</v>
      </c>
      <c r="C478" s="64" t="s">
        <v>2395</v>
      </c>
      <c r="D478" s="66" t="s">
        <v>1363</v>
      </c>
      <c r="E478" s="71">
        <v>0</v>
      </c>
      <c r="F478" s="71">
        <v>0</v>
      </c>
      <c r="G478" s="72">
        <v>0</v>
      </c>
      <c r="H478" s="72">
        <v>0</v>
      </c>
    </row>
    <row r="479" spans="2:8" ht="12">
      <c r="B479" s="64">
        <v>473</v>
      </c>
      <c r="C479" s="64" t="s">
        <v>2396</v>
      </c>
      <c r="D479" s="66" t="s">
        <v>1943</v>
      </c>
      <c r="E479" s="71">
        <v>0</v>
      </c>
      <c r="F479" s="71">
        <v>0</v>
      </c>
      <c r="G479" s="72">
        <v>0</v>
      </c>
      <c r="H479" s="72">
        <v>0</v>
      </c>
    </row>
    <row r="480" spans="2:8" ht="12">
      <c r="B480" s="64">
        <v>474</v>
      </c>
      <c r="C480" s="64" t="s">
        <v>1778</v>
      </c>
      <c r="D480" s="66" t="s">
        <v>2397</v>
      </c>
      <c r="E480" s="71">
        <v>0</v>
      </c>
      <c r="F480" s="71">
        <v>0</v>
      </c>
      <c r="G480" s="72">
        <v>0</v>
      </c>
      <c r="H480" s="72">
        <v>0</v>
      </c>
    </row>
    <row r="481" spans="2:8" ht="12">
      <c r="B481" s="64">
        <v>475</v>
      </c>
      <c r="C481" s="64" t="s">
        <v>973</v>
      </c>
      <c r="D481" s="66" t="s">
        <v>595</v>
      </c>
      <c r="E481" s="71">
        <v>0</v>
      </c>
      <c r="F481" s="71">
        <v>0</v>
      </c>
      <c r="G481" s="72">
        <v>0</v>
      </c>
      <c r="H481" s="72">
        <v>0</v>
      </c>
    </row>
    <row r="482" spans="2:8" ht="12">
      <c r="B482" s="64">
        <v>476</v>
      </c>
      <c r="C482" s="64" t="s">
        <v>1709</v>
      </c>
      <c r="D482" s="66" t="s">
        <v>1364</v>
      </c>
      <c r="E482" s="71">
        <v>0</v>
      </c>
      <c r="F482" s="71">
        <v>0</v>
      </c>
      <c r="G482" s="72">
        <v>0</v>
      </c>
      <c r="H482" s="72">
        <v>0</v>
      </c>
    </row>
    <row r="483" spans="2:8" ht="12">
      <c r="B483" s="64">
        <v>477</v>
      </c>
      <c r="C483" s="64" t="s">
        <v>1710</v>
      </c>
      <c r="D483" s="66" t="s">
        <v>974</v>
      </c>
      <c r="E483" s="71">
        <v>0</v>
      </c>
      <c r="F483" s="71">
        <v>0</v>
      </c>
      <c r="G483" s="72">
        <v>0</v>
      </c>
      <c r="H483" s="72">
        <v>0</v>
      </c>
    </row>
    <row r="484" spans="2:8" ht="12">
      <c r="B484" s="64">
        <v>478</v>
      </c>
      <c r="C484" s="64" t="s">
        <v>1522</v>
      </c>
      <c r="D484" s="66" t="s">
        <v>975</v>
      </c>
      <c r="E484" s="71">
        <v>0</v>
      </c>
      <c r="F484" s="71">
        <v>0</v>
      </c>
      <c r="G484" s="72">
        <v>0</v>
      </c>
      <c r="H484" s="72">
        <v>0</v>
      </c>
    </row>
    <row r="485" spans="2:8" ht="12">
      <c r="B485" s="64">
        <v>479</v>
      </c>
      <c r="C485" s="64" t="s">
        <v>1711</v>
      </c>
      <c r="D485" s="66" t="s">
        <v>2398</v>
      </c>
      <c r="E485" s="71">
        <v>0</v>
      </c>
      <c r="F485" s="71">
        <v>0</v>
      </c>
      <c r="G485" s="72">
        <v>0</v>
      </c>
      <c r="H485" s="72">
        <v>0</v>
      </c>
    </row>
    <row r="486" spans="2:8" ht="12">
      <c r="B486" s="64">
        <v>480</v>
      </c>
      <c r="C486" s="64" t="s">
        <v>976</v>
      </c>
      <c r="D486" s="66" t="s">
        <v>2399</v>
      </c>
      <c r="E486" s="71">
        <v>0</v>
      </c>
      <c r="F486" s="71">
        <v>0</v>
      </c>
      <c r="G486" s="72">
        <v>0</v>
      </c>
      <c r="H486" s="72">
        <v>0</v>
      </c>
    </row>
    <row r="487" spans="2:8" ht="12">
      <c r="B487" s="64">
        <v>481</v>
      </c>
      <c r="C487" s="64" t="s">
        <v>2400</v>
      </c>
      <c r="D487" s="66" t="s">
        <v>1867</v>
      </c>
      <c r="E487" s="71">
        <v>0</v>
      </c>
      <c r="F487" s="71">
        <v>0</v>
      </c>
      <c r="G487" s="72">
        <v>0</v>
      </c>
      <c r="H487" s="72">
        <v>0</v>
      </c>
    </row>
    <row r="488" spans="2:8" ht="12">
      <c r="B488" s="64">
        <v>482</v>
      </c>
      <c r="C488" s="64" t="s">
        <v>977</v>
      </c>
      <c r="D488" s="66" t="s">
        <v>2401</v>
      </c>
      <c r="E488" s="71">
        <v>0</v>
      </c>
      <c r="F488" s="71">
        <v>0</v>
      </c>
      <c r="G488" s="72">
        <v>0</v>
      </c>
      <c r="H488" s="72">
        <v>0</v>
      </c>
    </row>
    <row r="489" spans="2:8" ht="12">
      <c r="B489" s="64">
        <v>483</v>
      </c>
      <c r="C489" s="64" t="s">
        <v>2402</v>
      </c>
      <c r="D489" s="66" t="s">
        <v>1850</v>
      </c>
      <c r="E489" s="71">
        <v>0</v>
      </c>
      <c r="F489" s="71">
        <v>0</v>
      </c>
      <c r="G489" s="72">
        <v>0</v>
      </c>
      <c r="H489" s="72">
        <v>0</v>
      </c>
    </row>
    <row r="490" spans="2:8" ht="12">
      <c r="B490" s="64">
        <v>484</v>
      </c>
      <c r="C490" s="64" t="s">
        <v>2403</v>
      </c>
      <c r="D490" s="66" t="s">
        <v>978</v>
      </c>
      <c r="E490" s="71">
        <v>0</v>
      </c>
      <c r="F490" s="71">
        <v>0</v>
      </c>
      <c r="G490" s="72">
        <v>0</v>
      </c>
      <c r="H490" s="72">
        <v>0</v>
      </c>
    </row>
    <row r="491" spans="2:8" ht="12">
      <c r="B491" s="64">
        <v>485</v>
      </c>
      <c r="C491" s="64" t="s">
        <v>2404</v>
      </c>
      <c r="D491" s="66" t="s">
        <v>2405</v>
      </c>
      <c r="E491" s="71">
        <v>0</v>
      </c>
      <c r="F491" s="71">
        <v>0</v>
      </c>
      <c r="G491" s="72">
        <v>0</v>
      </c>
      <c r="H491" s="72">
        <v>0</v>
      </c>
    </row>
    <row r="492" spans="2:8" ht="12">
      <c r="B492" s="64">
        <v>486</v>
      </c>
      <c r="C492" s="64" t="s">
        <v>2406</v>
      </c>
      <c r="D492" s="66" t="s">
        <v>1674</v>
      </c>
      <c r="E492" s="71">
        <v>0</v>
      </c>
      <c r="F492" s="71">
        <v>0</v>
      </c>
      <c r="G492" s="72">
        <v>0</v>
      </c>
      <c r="H492" s="72">
        <v>0</v>
      </c>
    </row>
    <row r="493" spans="2:8" ht="12">
      <c r="B493" s="64">
        <v>487</v>
      </c>
      <c r="C493" s="64" t="s">
        <v>2407</v>
      </c>
      <c r="D493" s="66" t="s">
        <v>1523</v>
      </c>
      <c r="E493" s="71">
        <v>0</v>
      </c>
      <c r="F493" s="71">
        <v>0</v>
      </c>
      <c r="G493" s="72">
        <v>0</v>
      </c>
      <c r="H493" s="72">
        <v>0</v>
      </c>
    </row>
    <row r="494" spans="2:8" ht="12">
      <c r="B494" s="64">
        <v>488</v>
      </c>
      <c r="C494" s="64" t="s">
        <v>596</v>
      </c>
      <c r="D494" s="66" t="s">
        <v>979</v>
      </c>
      <c r="E494" s="71">
        <v>0</v>
      </c>
      <c r="F494" s="71">
        <v>0</v>
      </c>
      <c r="G494" s="72">
        <v>0</v>
      </c>
      <c r="H494" s="72">
        <v>0</v>
      </c>
    </row>
    <row r="495" spans="2:8" ht="12">
      <c r="B495" s="64">
        <v>489</v>
      </c>
      <c r="C495" s="64" t="s">
        <v>980</v>
      </c>
      <c r="D495" s="66" t="s">
        <v>2408</v>
      </c>
      <c r="E495" s="71">
        <v>0</v>
      </c>
      <c r="F495" s="71">
        <v>0</v>
      </c>
      <c r="G495" s="72">
        <v>0</v>
      </c>
      <c r="H495" s="72">
        <v>0</v>
      </c>
    </row>
    <row r="496" spans="2:8" ht="12">
      <c r="B496" s="64">
        <v>490</v>
      </c>
      <c r="C496" s="64" t="s">
        <v>1712</v>
      </c>
      <c r="D496" s="66" t="s">
        <v>1713</v>
      </c>
      <c r="E496" s="71">
        <v>0</v>
      </c>
      <c r="F496" s="71">
        <v>0</v>
      </c>
      <c r="G496" s="72">
        <v>0</v>
      </c>
      <c r="H496" s="72">
        <v>0</v>
      </c>
    </row>
    <row r="497" spans="2:8" ht="12">
      <c r="B497" s="64">
        <v>491</v>
      </c>
      <c r="C497" s="64" t="s">
        <v>981</v>
      </c>
      <c r="D497" s="66" t="s">
        <v>982</v>
      </c>
      <c r="E497" s="71">
        <v>0</v>
      </c>
      <c r="F497" s="71">
        <v>0</v>
      </c>
      <c r="G497" s="72">
        <v>0</v>
      </c>
      <c r="H497" s="72">
        <v>0</v>
      </c>
    </row>
    <row r="498" spans="2:8" ht="12">
      <c r="B498" s="64">
        <v>492</v>
      </c>
      <c r="C498" s="64" t="s">
        <v>1675</v>
      </c>
      <c r="D498" s="66" t="s">
        <v>2409</v>
      </c>
      <c r="E498" s="71">
        <v>0</v>
      </c>
      <c r="F498" s="71">
        <v>0</v>
      </c>
      <c r="G498" s="72">
        <v>0</v>
      </c>
      <c r="H498" s="72">
        <v>0</v>
      </c>
    </row>
    <row r="499" spans="2:8" ht="12">
      <c r="B499" s="64">
        <v>493</v>
      </c>
      <c r="C499" s="64" t="s">
        <v>1826</v>
      </c>
      <c r="D499" s="66" t="s">
        <v>2410</v>
      </c>
      <c r="E499" s="71">
        <v>0</v>
      </c>
      <c r="F499" s="71">
        <v>0</v>
      </c>
      <c r="G499" s="72">
        <v>0</v>
      </c>
      <c r="H499" s="72">
        <v>0</v>
      </c>
    </row>
    <row r="500" spans="2:8" ht="12">
      <c r="B500" s="64">
        <v>494</v>
      </c>
      <c r="C500" s="64" t="s">
        <v>1365</v>
      </c>
      <c r="D500" s="66" t="s">
        <v>983</v>
      </c>
      <c r="E500" s="71">
        <v>0</v>
      </c>
      <c r="F500" s="71">
        <v>0</v>
      </c>
      <c r="G500" s="72">
        <v>0</v>
      </c>
      <c r="H500" s="72">
        <v>0</v>
      </c>
    </row>
    <row r="501" spans="2:8" ht="12">
      <c r="B501" s="64">
        <v>495</v>
      </c>
      <c r="C501" s="64" t="s">
        <v>1524</v>
      </c>
      <c r="D501" s="66" t="s">
        <v>1366</v>
      </c>
      <c r="E501" s="71">
        <v>0</v>
      </c>
      <c r="F501" s="71">
        <v>0</v>
      </c>
      <c r="G501" s="72">
        <v>0</v>
      </c>
      <c r="H501" s="72">
        <v>0</v>
      </c>
    </row>
    <row r="502" spans="2:8" ht="12">
      <c r="B502" s="64">
        <v>496</v>
      </c>
      <c r="C502" s="64" t="s">
        <v>597</v>
      </c>
      <c r="D502" s="66" t="s">
        <v>1889</v>
      </c>
      <c r="E502" s="71">
        <v>0</v>
      </c>
      <c r="F502" s="71">
        <v>0</v>
      </c>
      <c r="G502" s="72">
        <v>0</v>
      </c>
      <c r="H502" s="72">
        <v>0</v>
      </c>
    </row>
    <row r="503" spans="2:8" ht="12">
      <c r="B503" s="64">
        <v>497</v>
      </c>
      <c r="C503" s="64" t="s">
        <v>2411</v>
      </c>
      <c r="D503" s="66" t="s">
        <v>2412</v>
      </c>
      <c r="E503" s="71">
        <v>0</v>
      </c>
      <c r="F503" s="71">
        <v>0</v>
      </c>
      <c r="G503" s="72">
        <v>0</v>
      </c>
      <c r="H503" s="72">
        <v>0</v>
      </c>
    </row>
    <row r="504" spans="2:8" ht="12">
      <c r="B504" s="64">
        <v>498</v>
      </c>
      <c r="C504" s="64" t="s">
        <v>2413</v>
      </c>
      <c r="D504" s="66" t="s">
        <v>1367</v>
      </c>
      <c r="E504" s="71">
        <v>0</v>
      </c>
      <c r="F504" s="71">
        <v>0</v>
      </c>
      <c r="G504" s="72">
        <v>0</v>
      </c>
      <c r="H504" s="72">
        <v>0</v>
      </c>
    </row>
    <row r="505" spans="2:8" ht="12">
      <c r="B505" s="64">
        <v>499</v>
      </c>
      <c r="C505" s="64" t="s">
        <v>984</v>
      </c>
      <c r="D505" s="66" t="s">
        <v>1368</v>
      </c>
      <c r="E505" s="71">
        <v>0</v>
      </c>
      <c r="F505" s="71">
        <v>0</v>
      </c>
      <c r="G505" s="72">
        <v>0</v>
      </c>
      <c r="H505" s="72">
        <v>0</v>
      </c>
    </row>
    <row r="506" spans="2:8" ht="12">
      <c r="B506" s="64">
        <v>500</v>
      </c>
      <c r="C506" s="64" t="s">
        <v>2414</v>
      </c>
      <c r="D506" s="66" t="s">
        <v>985</v>
      </c>
      <c r="E506" s="71">
        <v>0</v>
      </c>
      <c r="F506" s="71">
        <v>0</v>
      </c>
      <c r="G506" s="72">
        <v>0</v>
      </c>
      <c r="H506" s="72">
        <v>0</v>
      </c>
    </row>
    <row r="507" spans="2:8" ht="12">
      <c r="B507" s="64">
        <v>501</v>
      </c>
      <c r="C507" s="64" t="s">
        <v>1369</v>
      </c>
      <c r="D507" s="66" t="s">
        <v>2415</v>
      </c>
      <c r="E507" s="71">
        <v>0</v>
      </c>
      <c r="F507" s="71">
        <v>0</v>
      </c>
      <c r="G507" s="72">
        <v>0</v>
      </c>
      <c r="H507" s="72">
        <v>0</v>
      </c>
    </row>
    <row r="508" spans="2:8" ht="12">
      <c r="B508" s="64">
        <v>502</v>
      </c>
      <c r="C508" s="64" t="s">
        <v>1525</v>
      </c>
      <c r="D508" s="66" t="s">
        <v>2416</v>
      </c>
      <c r="E508" s="71">
        <v>0</v>
      </c>
      <c r="F508" s="71">
        <v>0</v>
      </c>
      <c r="G508" s="72">
        <v>0</v>
      </c>
      <c r="H508" s="72">
        <v>0</v>
      </c>
    </row>
    <row r="509" spans="2:8" ht="12">
      <c r="B509" s="64">
        <v>503</v>
      </c>
      <c r="C509" s="64" t="s">
        <v>2417</v>
      </c>
      <c r="D509" s="66" t="s">
        <v>2418</v>
      </c>
      <c r="E509" s="71">
        <v>0</v>
      </c>
      <c r="F509" s="71">
        <v>0</v>
      </c>
      <c r="G509" s="72">
        <v>0</v>
      </c>
      <c r="H509" s="72">
        <v>0</v>
      </c>
    </row>
    <row r="510" spans="2:8" ht="12">
      <c r="B510" s="64">
        <v>504</v>
      </c>
      <c r="C510" s="64" t="s">
        <v>1809</v>
      </c>
      <c r="D510" s="66" t="s">
        <v>986</v>
      </c>
      <c r="E510" s="71">
        <v>0</v>
      </c>
      <c r="F510" s="71">
        <v>0</v>
      </c>
      <c r="G510" s="72">
        <v>0</v>
      </c>
      <c r="H510" s="72">
        <v>0</v>
      </c>
    </row>
    <row r="511" spans="2:8" ht="12">
      <c r="B511" s="64">
        <v>505</v>
      </c>
      <c r="C511" s="64" t="s">
        <v>987</v>
      </c>
      <c r="D511" s="66" t="s">
        <v>2419</v>
      </c>
      <c r="E511" s="71">
        <v>0</v>
      </c>
      <c r="F511" s="71">
        <v>0</v>
      </c>
      <c r="G511" s="72">
        <v>0</v>
      </c>
      <c r="H511" s="72">
        <v>0</v>
      </c>
    </row>
    <row r="512" spans="2:8" ht="12">
      <c r="B512" s="64">
        <v>506</v>
      </c>
      <c r="C512" s="64" t="s">
        <v>2420</v>
      </c>
      <c r="D512" s="66" t="s">
        <v>2421</v>
      </c>
      <c r="E512" s="71">
        <v>0</v>
      </c>
      <c r="F512" s="71">
        <v>0</v>
      </c>
      <c r="G512" s="72">
        <v>0</v>
      </c>
      <c r="H512" s="72">
        <v>0</v>
      </c>
    </row>
    <row r="513" spans="2:8" ht="12">
      <c r="B513" s="64">
        <v>507</v>
      </c>
      <c r="C513" s="64" t="s">
        <v>1676</v>
      </c>
      <c r="D513" s="66" t="s">
        <v>2422</v>
      </c>
      <c r="E513" s="71">
        <v>0</v>
      </c>
      <c r="F513" s="71">
        <v>0</v>
      </c>
      <c r="G513" s="72">
        <v>0</v>
      </c>
      <c r="H513" s="72">
        <v>0</v>
      </c>
    </row>
    <row r="514" spans="2:8" ht="12">
      <c r="B514" s="64">
        <v>508</v>
      </c>
      <c r="C514" s="64" t="s">
        <v>988</v>
      </c>
      <c r="D514" s="66" t="s">
        <v>989</v>
      </c>
      <c r="E514" s="71">
        <v>0</v>
      </c>
      <c r="F514" s="71">
        <v>0</v>
      </c>
      <c r="G514" s="72">
        <v>0</v>
      </c>
      <c r="H514" s="72">
        <v>0</v>
      </c>
    </row>
    <row r="515" spans="2:8" ht="12">
      <c r="B515" s="64">
        <v>509</v>
      </c>
      <c r="C515" s="64" t="s">
        <v>1526</v>
      </c>
      <c r="D515" s="66" t="s">
        <v>2423</v>
      </c>
      <c r="E515" s="71">
        <v>0</v>
      </c>
      <c r="F515" s="71">
        <v>0</v>
      </c>
      <c r="G515" s="72">
        <v>0</v>
      </c>
      <c r="H515" s="72">
        <v>0</v>
      </c>
    </row>
    <row r="516" spans="2:8" ht="12">
      <c r="B516" s="64">
        <v>510</v>
      </c>
      <c r="C516" s="64" t="s">
        <v>2424</v>
      </c>
      <c r="D516" s="66" t="s">
        <v>2425</v>
      </c>
      <c r="E516" s="71">
        <v>0</v>
      </c>
      <c r="F516" s="71">
        <v>0</v>
      </c>
      <c r="G516" s="72">
        <v>0</v>
      </c>
      <c r="H516" s="72">
        <v>0</v>
      </c>
    </row>
    <row r="517" spans="2:8" ht="12">
      <c r="B517" s="64">
        <v>511</v>
      </c>
      <c r="C517" s="64" t="s">
        <v>990</v>
      </c>
      <c r="D517" s="66" t="s">
        <v>1370</v>
      </c>
      <c r="E517" s="71">
        <v>0</v>
      </c>
      <c r="F517" s="71">
        <v>0</v>
      </c>
      <c r="G517" s="72">
        <v>0</v>
      </c>
      <c r="H517" s="72">
        <v>0</v>
      </c>
    </row>
    <row r="518" spans="2:8" ht="12">
      <c r="B518" s="64">
        <v>512</v>
      </c>
      <c r="C518" s="64" t="s">
        <v>2426</v>
      </c>
      <c r="D518" s="66" t="s">
        <v>2427</v>
      </c>
      <c r="E518" s="71">
        <v>0</v>
      </c>
      <c r="F518" s="71">
        <v>0</v>
      </c>
      <c r="G518" s="72">
        <v>0</v>
      </c>
      <c r="H518" s="72">
        <v>0</v>
      </c>
    </row>
    <row r="519" spans="2:8" ht="12">
      <c r="B519" s="64">
        <v>513</v>
      </c>
      <c r="C519" s="64" t="s">
        <v>2428</v>
      </c>
      <c r="D519" s="66" t="s">
        <v>598</v>
      </c>
      <c r="E519" s="71">
        <v>0</v>
      </c>
      <c r="F519" s="71">
        <v>0</v>
      </c>
      <c r="G519" s="72">
        <v>0</v>
      </c>
      <c r="H519" s="72">
        <v>0</v>
      </c>
    </row>
    <row r="520" spans="2:8" ht="12">
      <c r="B520" s="64">
        <v>514</v>
      </c>
      <c r="C520" s="64" t="s">
        <v>1371</v>
      </c>
      <c r="D520" s="66" t="s">
        <v>1588</v>
      </c>
      <c r="E520" s="71">
        <v>0</v>
      </c>
      <c r="F520" s="71">
        <v>0</v>
      </c>
      <c r="G520" s="72">
        <v>0</v>
      </c>
      <c r="H520" s="72">
        <v>0</v>
      </c>
    </row>
    <row r="521" spans="2:8" ht="12">
      <c r="B521" s="64">
        <v>515</v>
      </c>
      <c r="C521" s="64" t="s">
        <v>2429</v>
      </c>
      <c r="D521" s="66" t="s">
        <v>1372</v>
      </c>
      <c r="E521" s="71">
        <v>0</v>
      </c>
      <c r="F521" s="71">
        <v>0</v>
      </c>
      <c r="G521" s="72">
        <v>0</v>
      </c>
      <c r="H521" s="72">
        <v>0</v>
      </c>
    </row>
    <row r="522" spans="2:8" ht="12">
      <c r="B522" s="64">
        <v>516</v>
      </c>
      <c r="C522" s="64" t="s">
        <v>1827</v>
      </c>
      <c r="D522" s="66" t="s">
        <v>599</v>
      </c>
      <c r="E522" s="71">
        <v>0</v>
      </c>
      <c r="F522" s="71">
        <v>0</v>
      </c>
      <c r="G522" s="72">
        <v>0</v>
      </c>
      <c r="H522" s="72">
        <v>0</v>
      </c>
    </row>
    <row r="523" spans="2:8" ht="12">
      <c r="B523" s="64">
        <v>517</v>
      </c>
      <c r="C523" s="64" t="s">
        <v>2430</v>
      </c>
      <c r="D523" s="66" t="s">
        <v>991</v>
      </c>
      <c r="E523" s="71">
        <v>0</v>
      </c>
      <c r="F523" s="71">
        <v>0</v>
      </c>
      <c r="G523" s="72">
        <v>0</v>
      </c>
      <c r="H523" s="72">
        <v>0</v>
      </c>
    </row>
    <row r="524" spans="2:8" ht="12">
      <c r="B524" s="64">
        <v>518</v>
      </c>
      <c r="C524" s="64" t="s">
        <v>2431</v>
      </c>
      <c r="D524" s="66" t="s">
        <v>2432</v>
      </c>
      <c r="E524" s="71">
        <v>0</v>
      </c>
      <c r="F524" s="71">
        <v>0</v>
      </c>
      <c r="G524" s="72">
        <v>0</v>
      </c>
      <c r="H524" s="72">
        <v>0</v>
      </c>
    </row>
    <row r="525" spans="2:8" ht="12">
      <c r="B525" s="64">
        <v>519</v>
      </c>
      <c r="C525" s="64" t="s">
        <v>2433</v>
      </c>
      <c r="D525" s="66" t="s">
        <v>1589</v>
      </c>
      <c r="E525" s="71">
        <v>0</v>
      </c>
      <c r="F525" s="71">
        <v>0</v>
      </c>
      <c r="G525" s="72">
        <v>0</v>
      </c>
      <c r="H525" s="72">
        <v>0</v>
      </c>
    </row>
    <row r="526" spans="2:8" ht="12">
      <c r="B526" s="64">
        <v>520</v>
      </c>
      <c r="C526" s="64" t="s">
        <v>2434</v>
      </c>
      <c r="D526" s="66" t="s">
        <v>2435</v>
      </c>
      <c r="E526" s="71">
        <v>0</v>
      </c>
      <c r="F526" s="71">
        <v>0</v>
      </c>
      <c r="G526" s="72">
        <v>0</v>
      </c>
      <c r="H526" s="72">
        <v>0</v>
      </c>
    </row>
    <row r="527" spans="2:8" ht="12">
      <c r="B527" s="64">
        <v>521</v>
      </c>
      <c r="C527" s="64" t="s">
        <v>2436</v>
      </c>
      <c r="D527" s="66" t="s">
        <v>2437</v>
      </c>
      <c r="E527" s="71">
        <v>0</v>
      </c>
      <c r="F527" s="71">
        <v>0</v>
      </c>
      <c r="G527" s="72">
        <v>0</v>
      </c>
      <c r="H527" s="72">
        <v>0</v>
      </c>
    </row>
    <row r="528" spans="2:8" ht="12">
      <c r="B528" s="64">
        <v>522</v>
      </c>
      <c r="C528" s="64" t="s">
        <v>600</v>
      </c>
      <c r="D528" s="66" t="s">
        <v>1714</v>
      </c>
      <c r="E528" s="71">
        <v>0</v>
      </c>
      <c r="F528" s="71">
        <v>0</v>
      </c>
      <c r="G528" s="72">
        <v>0</v>
      </c>
      <c r="H528" s="72">
        <v>0</v>
      </c>
    </row>
    <row r="529" spans="2:8" ht="12">
      <c r="B529" s="64">
        <v>523</v>
      </c>
      <c r="C529" s="64" t="s">
        <v>1373</v>
      </c>
      <c r="D529" s="66" t="s">
        <v>1374</v>
      </c>
      <c r="E529" s="71">
        <v>0</v>
      </c>
      <c r="F529" s="71">
        <v>0</v>
      </c>
      <c r="G529" s="72">
        <v>0</v>
      </c>
      <c r="H529" s="72">
        <v>0</v>
      </c>
    </row>
    <row r="530" spans="2:8" ht="12">
      <c r="B530" s="64">
        <v>524</v>
      </c>
      <c r="C530" s="64" t="s">
        <v>2438</v>
      </c>
      <c r="D530" s="66" t="s">
        <v>1715</v>
      </c>
      <c r="E530" s="71">
        <v>0</v>
      </c>
      <c r="F530" s="71">
        <v>0</v>
      </c>
      <c r="G530" s="72">
        <v>0</v>
      </c>
      <c r="H530" s="72">
        <v>0</v>
      </c>
    </row>
    <row r="531" spans="2:8" ht="12">
      <c r="B531" s="64">
        <v>525</v>
      </c>
      <c r="C531" s="64" t="s">
        <v>2439</v>
      </c>
      <c r="D531" s="66" t="s">
        <v>2440</v>
      </c>
      <c r="E531" s="71">
        <v>0</v>
      </c>
      <c r="F531" s="71">
        <v>0</v>
      </c>
      <c r="G531" s="72">
        <v>0</v>
      </c>
      <c r="H531" s="72">
        <v>0</v>
      </c>
    </row>
    <row r="532" spans="2:8" ht="12">
      <c r="B532" s="64">
        <v>526</v>
      </c>
      <c r="C532" s="64" t="s">
        <v>1375</v>
      </c>
      <c r="D532" s="66" t="s">
        <v>2441</v>
      </c>
      <c r="E532" s="71">
        <v>0</v>
      </c>
      <c r="F532" s="71">
        <v>0</v>
      </c>
      <c r="G532" s="72">
        <v>0</v>
      </c>
      <c r="H532" s="72">
        <v>0</v>
      </c>
    </row>
    <row r="533" spans="2:8" ht="12">
      <c r="B533" s="64">
        <v>527</v>
      </c>
      <c r="C533" s="64" t="s">
        <v>992</v>
      </c>
      <c r="D533" s="66" t="s">
        <v>2442</v>
      </c>
      <c r="E533" s="71">
        <v>0</v>
      </c>
      <c r="F533" s="71">
        <v>0</v>
      </c>
      <c r="G533" s="72">
        <v>0</v>
      </c>
      <c r="H533" s="72">
        <v>0</v>
      </c>
    </row>
    <row r="534" spans="2:8" ht="12">
      <c r="B534" s="64">
        <v>528</v>
      </c>
      <c r="C534" s="64" t="s">
        <v>2443</v>
      </c>
      <c r="D534" s="66" t="s">
        <v>993</v>
      </c>
      <c r="E534" s="71">
        <v>0</v>
      </c>
      <c r="F534" s="71">
        <v>0</v>
      </c>
      <c r="G534" s="72">
        <v>0</v>
      </c>
      <c r="H534" s="72">
        <v>0</v>
      </c>
    </row>
    <row r="535" spans="2:8" ht="12">
      <c r="B535" s="64">
        <v>529</v>
      </c>
      <c r="C535" s="64" t="s">
        <v>1779</v>
      </c>
      <c r="D535" s="66" t="s">
        <v>1780</v>
      </c>
      <c r="E535" s="71">
        <v>0</v>
      </c>
      <c r="F535" s="71">
        <v>0</v>
      </c>
      <c r="G535" s="72">
        <v>0</v>
      </c>
      <c r="H535" s="72">
        <v>0</v>
      </c>
    </row>
    <row r="536" spans="2:8" ht="12">
      <c r="B536" s="64">
        <v>530</v>
      </c>
      <c r="C536" s="64" t="s">
        <v>1376</v>
      </c>
      <c r="D536" s="66" t="s">
        <v>994</v>
      </c>
      <c r="E536" s="71">
        <v>0</v>
      </c>
      <c r="F536" s="71">
        <v>0</v>
      </c>
      <c r="G536" s="72">
        <v>0</v>
      </c>
      <c r="H536" s="72">
        <v>0</v>
      </c>
    </row>
    <row r="537" spans="2:8" ht="12">
      <c r="B537" s="64">
        <v>531</v>
      </c>
      <c r="C537" s="64" t="s">
        <v>601</v>
      </c>
      <c r="D537" s="66" t="s">
        <v>2444</v>
      </c>
      <c r="E537" s="71">
        <v>0</v>
      </c>
      <c r="F537" s="71">
        <v>0</v>
      </c>
      <c r="G537" s="72">
        <v>0</v>
      </c>
      <c r="H537" s="72">
        <v>0</v>
      </c>
    </row>
    <row r="538" spans="2:8" ht="12">
      <c r="B538" s="64">
        <v>532</v>
      </c>
      <c r="C538" s="64" t="s">
        <v>2445</v>
      </c>
      <c r="D538" s="66" t="s">
        <v>995</v>
      </c>
      <c r="E538" s="71">
        <v>0</v>
      </c>
      <c r="F538" s="71">
        <v>0</v>
      </c>
      <c r="G538" s="72">
        <v>0</v>
      </c>
      <c r="H538" s="72">
        <v>0</v>
      </c>
    </row>
    <row r="539" spans="2:8" ht="12">
      <c r="B539" s="64">
        <v>533</v>
      </c>
      <c r="C539" s="64" t="s">
        <v>1851</v>
      </c>
      <c r="D539" s="66" t="s">
        <v>2446</v>
      </c>
      <c r="E539" s="71">
        <v>0</v>
      </c>
      <c r="F539" s="71">
        <v>0</v>
      </c>
      <c r="G539" s="72">
        <v>0</v>
      </c>
      <c r="H539" s="72">
        <v>0</v>
      </c>
    </row>
    <row r="540" spans="2:8" ht="12">
      <c r="B540" s="64">
        <v>534</v>
      </c>
      <c r="C540" s="64" t="s">
        <v>1590</v>
      </c>
      <c r="D540" s="66" t="s">
        <v>1677</v>
      </c>
      <c r="E540" s="71">
        <v>0</v>
      </c>
      <c r="F540" s="71">
        <v>0</v>
      </c>
      <c r="G540" s="72">
        <v>0</v>
      </c>
      <c r="H540" s="72">
        <v>0</v>
      </c>
    </row>
    <row r="541" spans="2:8" ht="12">
      <c r="B541" s="64">
        <v>535</v>
      </c>
      <c r="C541" s="64" t="s">
        <v>602</v>
      </c>
      <c r="D541" s="66" t="s">
        <v>2447</v>
      </c>
      <c r="E541" s="71">
        <v>0</v>
      </c>
      <c r="F541" s="71">
        <v>0</v>
      </c>
      <c r="G541" s="72">
        <v>0</v>
      </c>
      <c r="H541" s="72">
        <v>0</v>
      </c>
    </row>
    <row r="542" spans="2:8" ht="12">
      <c r="B542" s="64">
        <v>536</v>
      </c>
      <c r="C542" s="64" t="s">
        <v>2448</v>
      </c>
      <c r="D542" s="66" t="s">
        <v>996</v>
      </c>
      <c r="E542" s="71">
        <v>0</v>
      </c>
      <c r="F542" s="71">
        <v>0</v>
      </c>
      <c r="G542" s="72">
        <v>0</v>
      </c>
      <c r="H542" s="72">
        <v>0</v>
      </c>
    </row>
    <row r="543" spans="2:8" ht="12">
      <c r="B543" s="64">
        <v>537</v>
      </c>
      <c r="C543" s="64" t="s">
        <v>1716</v>
      </c>
      <c r="D543" s="66" t="s">
        <v>1810</v>
      </c>
      <c r="E543" s="71">
        <v>0</v>
      </c>
      <c r="F543" s="71">
        <v>0</v>
      </c>
      <c r="G543" s="72">
        <v>0</v>
      </c>
      <c r="H543" s="72">
        <v>0</v>
      </c>
    </row>
    <row r="544" spans="2:8" ht="12">
      <c r="B544" s="64">
        <v>538</v>
      </c>
      <c r="C544" s="64" t="s">
        <v>2449</v>
      </c>
      <c r="D544" s="66" t="s">
        <v>1377</v>
      </c>
      <c r="E544" s="71">
        <v>0</v>
      </c>
      <c r="F544" s="71">
        <v>0</v>
      </c>
      <c r="G544" s="72">
        <v>0</v>
      </c>
      <c r="H544" s="72">
        <v>0</v>
      </c>
    </row>
    <row r="545" spans="2:8" ht="12">
      <c r="B545" s="64">
        <v>539</v>
      </c>
      <c r="C545" s="64" t="s">
        <v>997</v>
      </c>
      <c r="D545" s="66" t="s">
        <v>998</v>
      </c>
      <c r="E545" s="71">
        <v>0</v>
      </c>
      <c r="F545" s="71">
        <v>0</v>
      </c>
      <c r="G545" s="72">
        <v>0</v>
      </c>
      <c r="H545" s="72">
        <v>0</v>
      </c>
    </row>
    <row r="546" spans="2:8" ht="12">
      <c r="B546" s="64">
        <v>540</v>
      </c>
      <c r="C546" s="64" t="s">
        <v>2450</v>
      </c>
      <c r="D546" s="66" t="s">
        <v>2451</v>
      </c>
      <c r="E546" s="71">
        <v>0</v>
      </c>
      <c r="F546" s="71">
        <v>0</v>
      </c>
      <c r="G546" s="72">
        <v>0</v>
      </c>
      <c r="H546" s="72">
        <v>0</v>
      </c>
    </row>
    <row r="547" spans="2:8" ht="12">
      <c r="B547" s="64">
        <v>541</v>
      </c>
      <c r="C547" s="64" t="s">
        <v>2452</v>
      </c>
      <c r="D547" s="66" t="s">
        <v>1717</v>
      </c>
      <c r="E547" s="71">
        <v>0</v>
      </c>
      <c r="F547" s="71">
        <v>0</v>
      </c>
      <c r="G547" s="72">
        <v>0</v>
      </c>
      <c r="H547" s="72">
        <v>0</v>
      </c>
    </row>
    <row r="548" spans="2:8" ht="12">
      <c r="B548" s="64">
        <v>542</v>
      </c>
      <c r="C548" s="64" t="s">
        <v>999</v>
      </c>
      <c r="D548" s="66" t="s">
        <v>1000</v>
      </c>
      <c r="E548" s="71">
        <v>0</v>
      </c>
      <c r="F548" s="71">
        <v>0</v>
      </c>
      <c r="G548" s="72">
        <v>0</v>
      </c>
      <c r="H548" s="72">
        <v>0</v>
      </c>
    </row>
    <row r="549" spans="2:8" ht="12">
      <c r="B549" s="64">
        <v>543</v>
      </c>
      <c r="C549" s="64" t="s">
        <v>1527</v>
      </c>
      <c r="D549" s="66" t="s">
        <v>1528</v>
      </c>
      <c r="E549" s="71">
        <v>0</v>
      </c>
      <c r="F549" s="71">
        <v>0</v>
      </c>
      <c r="G549" s="72">
        <v>0</v>
      </c>
      <c r="H549" s="72">
        <v>0</v>
      </c>
    </row>
    <row r="550" spans="2:8" ht="12">
      <c r="B550" s="64">
        <v>544</v>
      </c>
      <c r="C550" s="64" t="s">
        <v>2453</v>
      </c>
      <c r="D550" s="66" t="s">
        <v>1591</v>
      </c>
      <c r="E550" s="71">
        <v>0</v>
      </c>
      <c r="F550" s="71">
        <v>0</v>
      </c>
      <c r="G550" s="72">
        <v>0</v>
      </c>
      <c r="H550" s="72">
        <v>0</v>
      </c>
    </row>
    <row r="551" spans="2:8" ht="12">
      <c r="B551" s="64">
        <v>545</v>
      </c>
      <c r="C551" s="64" t="s">
        <v>2454</v>
      </c>
      <c r="D551" s="66" t="s">
        <v>1001</v>
      </c>
      <c r="E551" s="71">
        <v>0</v>
      </c>
      <c r="F551" s="71">
        <v>0</v>
      </c>
      <c r="G551" s="72">
        <v>0</v>
      </c>
      <c r="H551" s="72">
        <v>0</v>
      </c>
    </row>
    <row r="552" spans="2:8" ht="12">
      <c r="B552" s="64">
        <v>546</v>
      </c>
      <c r="C552" s="64" t="s">
        <v>2455</v>
      </c>
      <c r="D552" s="66" t="s">
        <v>1718</v>
      </c>
      <c r="E552" s="71">
        <v>0</v>
      </c>
      <c r="F552" s="71">
        <v>0</v>
      </c>
      <c r="G552" s="72">
        <v>0</v>
      </c>
      <c r="H552" s="72">
        <v>0</v>
      </c>
    </row>
    <row r="553" spans="2:8" ht="12">
      <c r="B553" s="64">
        <v>547</v>
      </c>
      <c r="C553" s="64" t="s">
        <v>2456</v>
      </c>
      <c r="D553" s="66" t="s">
        <v>2457</v>
      </c>
      <c r="E553" s="71">
        <v>0</v>
      </c>
      <c r="F553" s="71">
        <v>0</v>
      </c>
      <c r="G553" s="72">
        <v>0</v>
      </c>
      <c r="H553" s="72">
        <v>0</v>
      </c>
    </row>
    <row r="554" spans="2:8" ht="12">
      <c r="B554" s="64">
        <v>548</v>
      </c>
      <c r="C554" s="64" t="s">
        <v>2458</v>
      </c>
      <c r="D554" s="66" t="s">
        <v>1378</v>
      </c>
      <c r="E554" s="71">
        <v>0</v>
      </c>
      <c r="F554" s="71">
        <v>0</v>
      </c>
      <c r="G554" s="72">
        <v>0</v>
      </c>
      <c r="H554" s="72">
        <v>0</v>
      </c>
    </row>
    <row r="555" spans="2:8" ht="12">
      <c r="B555" s="64">
        <v>549</v>
      </c>
      <c r="C555" s="64" t="s">
        <v>1002</v>
      </c>
      <c r="D555" s="66" t="s">
        <v>1003</v>
      </c>
      <c r="E555" s="71">
        <v>0</v>
      </c>
      <c r="F555" s="71">
        <v>0</v>
      </c>
      <c r="G555" s="72">
        <v>0</v>
      </c>
      <c r="H555" s="72">
        <v>0</v>
      </c>
    </row>
    <row r="556" spans="2:8" ht="12">
      <c r="B556" s="64">
        <v>550</v>
      </c>
      <c r="C556" s="64" t="s">
        <v>1004</v>
      </c>
      <c r="D556" s="66" t="s">
        <v>1719</v>
      </c>
      <c r="E556" s="71">
        <v>0</v>
      </c>
      <c r="F556" s="71">
        <v>0</v>
      </c>
      <c r="G556" s="72">
        <v>0</v>
      </c>
      <c r="H556" s="72">
        <v>0</v>
      </c>
    </row>
    <row r="557" spans="2:8" ht="12">
      <c r="B557" s="64">
        <v>551</v>
      </c>
      <c r="C557" s="64" t="s">
        <v>1920</v>
      </c>
      <c r="D557" s="66" t="s">
        <v>1379</v>
      </c>
      <c r="E557" s="71">
        <v>0</v>
      </c>
      <c r="F557" s="71">
        <v>0</v>
      </c>
      <c r="G557" s="72">
        <v>0</v>
      </c>
      <c r="H557" s="72">
        <v>0</v>
      </c>
    </row>
    <row r="558" spans="2:8" ht="12">
      <c r="B558" s="64">
        <v>552</v>
      </c>
      <c r="C558" s="64" t="s">
        <v>2459</v>
      </c>
      <c r="D558" s="66" t="s">
        <v>2460</v>
      </c>
      <c r="E558" s="71">
        <v>0</v>
      </c>
      <c r="F558" s="71">
        <v>0</v>
      </c>
      <c r="G558" s="72">
        <v>0</v>
      </c>
      <c r="H558" s="72">
        <v>0</v>
      </c>
    </row>
    <row r="559" spans="2:8" ht="12">
      <c r="B559" s="64">
        <v>553</v>
      </c>
      <c r="C559" s="64" t="s">
        <v>1720</v>
      </c>
      <c r="D559" s="66" t="s">
        <v>1721</v>
      </c>
      <c r="E559" s="71">
        <v>0</v>
      </c>
      <c r="F559" s="71">
        <v>0</v>
      </c>
      <c r="G559" s="72">
        <v>0</v>
      </c>
      <c r="H559" s="72">
        <v>0</v>
      </c>
    </row>
    <row r="560" spans="2:8" ht="12">
      <c r="B560" s="64">
        <v>554</v>
      </c>
      <c r="C560" s="64" t="s">
        <v>1005</v>
      </c>
      <c r="D560" s="66" t="s">
        <v>2461</v>
      </c>
      <c r="E560" s="71">
        <v>0</v>
      </c>
      <c r="F560" s="71">
        <v>0</v>
      </c>
      <c r="G560" s="72">
        <v>0</v>
      </c>
      <c r="H560" s="72">
        <v>0</v>
      </c>
    </row>
    <row r="561" spans="2:8" ht="12">
      <c r="B561" s="64">
        <v>555</v>
      </c>
      <c r="C561" s="64" t="s">
        <v>2462</v>
      </c>
      <c r="D561" s="66" t="s">
        <v>1678</v>
      </c>
      <c r="E561" s="71">
        <v>0</v>
      </c>
      <c r="F561" s="71">
        <v>0</v>
      </c>
      <c r="G561" s="72">
        <v>0</v>
      </c>
      <c r="H561" s="72">
        <v>0</v>
      </c>
    </row>
    <row r="562" spans="2:8" ht="12">
      <c r="B562" s="64">
        <v>556</v>
      </c>
      <c r="C562" s="64" t="s">
        <v>1006</v>
      </c>
      <c r="D562" s="66" t="s">
        <v>1722</v>
      </c>
      <c r="E562" s="71">
        <v>0</v>
      </c>
      <c r="F562" s="71">
        <v>0</v>
      </c>
      <c r="G562" s="72">
        <v>0</v>
      </c>
      <c r="H562" s="72">
        <v>0</v>
      </c>
    </row>
    <row r="563" spans="2:8" ht="12">
      <c r="B563" s="64">
        <v>557</v>
      </c>
      <c r="C563" s="64" t="s">
        <v>1007</v>
      </c>
      <c r="D563" s="66" t="s">
        <v>2463</v>
      </c>
      <c r="E563" s="71">
        <v>0</v>
      </c>
      <c r="F563" s="71">
        <v>0</v>
      </c>
      <c r="G563" s="72">
        <v>0</v>
      </c>
      <c r="H563" s="72">
        <v>0</v>
      </c>
    </row>
    <row r="564" spans="2:8" ht="12">
      <c r="B564" s="64">
        <v>558</v>
      </c>
      <c r="C564" s="64" t="s">
        <v>2464</v>
      </c>
      <c r="D564" s="66" t="s">
        <v>2465</v>
      </c>
      <c r="E564" s="71">
        <v>0</v>
      </c>
      <c r="F564" s="71">
        <v>0</v>
      </c>
      <c r="G564" s="72">
        <v>0</v>
      </c>
      <c r="H564" s="72">
        <v>0</v>
      </c>
    </row>
    <row r="565" spans="2:8" ht="12">
      <c r="B565" s="64">
        <v>559</v>
      </c>
      <c r="C565" s="64" t="s">
        <v>1921</v>
      </c>
      <c r="D565" s="66" t="s">
        <v>2466</v>
      </c>
      <c r="E565" s="71">
        <v>0</v>
      </c>
      <c r="F565" s="71">
        <v>0</v>
      </c>
      <c r="G565" s="72">
        <v>0</v>
      </c>
      <c r="H565" s="72">
        <v>0</v>
      </c>
    </row>
    <row r="566" spans="2:8" ht="12">
      <c r="B566" s="64">
        <v>560</v>
      </c>
      <c r="C566" s="64" t="s">
        <v>1529</v>
      </c>
      <c r="D566" s="66" t="s">
        <v>1008</v>
      </c>
      <c r="E566" s="71">
        <v>0</v>
      </c>
      <c r="F566" s="71">
        <v>0</v>
      </c>
      <c r="G566" s="72">
        <v>0</v>
      </c>
      <c r="H566" s="72">
        <v>0</v>
      </c>
    </row>
    <row r="567" spans="2:8" ht="12">
      <c r="B567" s="64">
        <v>561</v>
      </c>
      <c r="C567" s="64" t="s">
        <v>1781</v>
      </c>
      <c r="D567" s="66" t="s">
        <v>1009</v>
      </c>
      <c r="E567" s="71">
        <v>0</v>
      </c>
      <c r="F567" s="71">
        <v>0</v>
      </c>
      <c r="G567" s="72">
        <v>0</v>
      </c>
      <c r="H567" s="72">
        <v>0</v>
      </c>
    </row>
    <row r="568" spans="2:8" ht="12">
      <c r="B568" s="64">
        <v>562</v>
      </c>
      <c r="C568" s="64" t="s">
        <v>1010</v>
      </c>
      <c r="D568" s="66" t="s">
        <v>1011</v>
      </c>
      <c r="E568" s="71">
        <v>0</v>
      </c>
      <c r="F568" s="71">
        <v>0</v>
      </c>
      <c r="G568" s="72">
        <v>0</v>
      </c>
      <c r="H568" s="72">
        <v>0</v>
      </c>
    </row>
    <row r="569" spans="2:8" ht="12">
      <c r="B569" s="64">
        <v>563</v>
      </c>
      <c r="C569" s="64" t="s">
        <v>1782</v>
      </c>
      <c r="D569" s="66" t="s">
        <v>1380</v>
      </c>
      <c r="E569" s="71">
        <v>0</v>
      </c>
      <c r="F569" s="71">
        <v>0</v>
      </c>
      <c r="G569" s="72">
        <v>0</v>
      </c>
      <c r="H569" s="72">
        <v>0</v>
      </c>
    </row>
    <row r="570" spans="2:8" ht="12">
      <c r="B570" s="64">
        <v>564</v>
      </c>
      <c r="C570" s="64" t="s">
        <v>1012</v>
      </c>
      <c r="D570" s="66" t="s">
        <v>1723</v>
      </c>
      <c r="E570" s="71">
        <v>0</v>
      </c>
      <c r="F570" s="71">
        <v>0</v>
      </c>
      <c r="G570" s="72">
        <v>0</v>
      </c>
      <c r="H570" s="72">
        <v>0</v>
      </c>
    </row>
    <row r="571" spans="2:8" ht="12">
      <c r="B571" s="64">
        <v>565</v>
      </c>
      <c r="C571" s="64" t="s">
        <v>1783</v>
      </c>
      <c r="D571" s="66" t="s">
        <v>1530</v>
      </c>
      <c r="E571" s="71">
        <v>0</v>
      </c>
      <c r="F571" s="71">
        <v>0</v>
      </c>
      <c r="G571" s="72">
        <v>0</v>
      </c>
      <c r="H571" s="72">
        <v>0</v>
      </c>
    </row>
    <row r="572" spans="2:8" ht="12">
      <c r="B572" s="64">
        <v>566</v>
      </c>
      <c r="C572" s="64" t="s">
        <v>2467</v>
      </c>
      <c r="D572" s="66" t="s">
        <v>1933</v>
      </c>
      <c r="E572" s="71">
        <v>0</v>
      </c>
      <c r="F572" s="71">
        <v>0</v>
      </c>
      <c r="G572" s="72">
        <v>0</v>
      </c>
      <c r="H572" s="72">
        <v>0</v>
      </c>
    </row>
    <row r="573" spans="2:8" ht="12">
      <c r="B573" s="64">
        <v>567</v>
      </c>
      <c r="C573" s="64" t="s">
        <v>1922</v>
      </c>
      <c r="D573" s="66" t="s">
        <v>2468</v>
      </c>
      <c r="E573" s="71">
        <v>0</v>
      </c>
      <c r="F573" s="71">
        <v>0</v>
      </c>
      <c r="G573" s="72">
        <v>0</v>
      </c>
      <c r="H573" s="72">
        <v>0</v>
      </c>
    </row>
    <row r="574" spans="2:8" ht="12">
      <c r="B574" s="64">
        <v>568</v>
      </c>
      <c r="C574" s="64" t="s">
        <v>1923</v>
      </c>
      <c r="D574" s="66" t="s">
        <v>1531</v>
      </c>
      <c r="E574" s="71">
        <v>0</v>
      </c>
      <c r="F574" s="71">
        <v>0</v>
      </c>
      <c r="G574" s="72">
        <v>0</v>
      </c>
      <c r="H574" s="72">
        <v>0</v>
      </c>
    </row>
    <row r="575" spans="2:8" ht="12">
      <c r="B575" s="64">
        <v>569</v>
      </c>
      <c r="C575" s="64" t="s">
        <v>1913</v>
      </c>
      <c r="D575" s="66" t="s">
        <v>1013</v>
      </c>
      <c r="E575" s="71">
        <v>0</v>
      </c>
      <c r="F575" s="71">
        <v>0</v>
      </c>
      <c r="G575" s="72">
        <v>0</v>
      </c>
      <c r="H575" s="72">
        <v>0</v>
      </c>
    </row>
    <row r="576" spans="2:8" ht="12">
      <c r="B576" s="64">
        <v>570</v>
      </c>
      <c r="C576" s="64" t="s">
        <v>1381</v>
      </c>
      <c r="D576" s="66" t="s">
        <v>2469</v>
      </c>
      <c r="E576" s="71">
        <v>0</v>
      </c>
      <c r="F576" s="71">
        <v>0</v>
      </c>
      <c r="G576" s="72">
        <v>0</v>
      </c>
      <c r="H576" s="72">
        <v>0</v>
      </c>
    </row>
    <row r="577" spans="2:8" ht="12">
      <c r="B577" s="64">
        <v>571</v>
      </c>
      <c r="C577" s="64" t="s">
        <v>1014</v>
      </c>
      <c r="D577" s="66" t="s">
        <v>1924</v>
      </c>
      <c r="E577" s="71">
        <v>0</v>
      </c>
      <c r="F577" s="71">
        <v>0</v>
      </c>
      <c r="G577" s="72">
        <v>0</v>
      </c>
      <c r="H577" s="72">
        <v>0</v>
      </c>
    </row>
    <row r="578" spans="2:8" ht="12">
      <c r="B578" s="64">
        <v>572</v>
      </c>
      <c r="C578" s="64" t="s">
        <v>2470</v>
      </c>
      <c r="D578" s="66" t="s">
        <v>2471</v>
      </c>
      <c r="E578" s="71">
        <v>0</v>
      </c>
      <c r="F578" s="71">
        <v>0</v>
      </c>
      <c r="G578" s="72">
        <v>0</v>
      </c>
      <c r="H578" s="72">
        <v>0</v>
      </c>
    </row>
    <row r="579" spans="2:8" ht="12">
      <c r="B579" s="64">
        <v>573</v>
      </c>
      <c r="C579" s="64" t="s">
        <v>1852</v>
      </c>
      <c r="D579" s="66" t="s">
        <v>1868</v>
      </c>
      <c r="E579" s="71">
        <v>0</v>
      </c>
      <c r="F579" s="71">
        <v>0</v>
      </c>
      <c r="G579" s="72">
        <v>0</v>
      </c>
      <c r="H579" s="72">
        <v>0</v>
      </c>
    </row>
    <row r="580" spans="2:8" ht="12">
      <c r="B580" s="64">
        <v>574</v>
      </c>
      <c r="C580" s="64" t="s">
        <v>1015</v>
      </c>
      <c r="D580" s="66" t="s">
        <v>1724</v>
      </c>
      <c r="E580" s="71">
        <v>0</v>
      </c>
      <c r="F580" s="71">
        <v>0</v>
      </c>
      <c r="G580" s="72">
        <v>0</v>
      </c>
      <c r="H580" s="72">
        <v>0</v>
      </c>
    </row>
    <row r="581" spans="2:8" ht="12">
      <c r="B581" s="64">
        <v>575</v>
      </c>
      <c r="C581" s="64" t="s">
        <v>2472</v>
      </c>
      <c r="D581" s="66" t="s">
        <v>1679</v>
      </c>
      <c r="E581" s="71">
        <v>0</v>
      </c>
      <c r="F581" s="71">
        <v>0</v>
      </c>
      <c r="G581" s="72">
        <v>0</v>
      </c>
      <c r="H581" s="72">
        <v>0</v>
      </c>
    </row>
    <row r="582" spans="2:8" ht="12">
      <c r="B582" s="64">
        <v>576</v>
      </c>
      <c r="C582" s="64" t="s">
        <v>2473</v>
      </c>
      <c r="D582" s="66" t="s">
        <v>1784</v>
      </c>
      <c r="E582" s="71">
        <v>0</v>
      </c>
      <c r="F582" s="71">
        <v>0</v>
      </c>
      <c r="G582" s="72">
        <v>0</v>
      </c>
      <c r="H582" s="72">
        <v>0</v>
      </c>
    </row>
    <row r="583" spans="2:8" ht="12">
      <c r="B583" s="64">
        <v>577</v>
      </c>
      <c r="C583" s="64" t="s">
        <v>1592</v>
      </c>
      <c r="D583" s="66" t="s">
        <v>2474</v>
      </c>
      <c r="E583" s="71">
        <v>0</v>
      </c>
      <c r="F583" s="71">
        <v>0</v>
      </c>
      <c r="G583" s="72">
        <v>0</v>
      </c>
      <c r="H583" s="72">
        <v>0</v>
      </c>
    </row>
    <row r="584" spans="2:8" ht="12">
      <c r="B584" s="64">
        <v>578</v>
      </c>
      <c r="C584" s="64" t="s">
        <v>1016</v>
      </c>
      <c r="D584" s="66" t="s">
        <v>1944</v>
      </c>
      <c r="E584" s="71">
        <v>0</v>
      </c>
      <c r="F584" s="71">
        <v>0</v>
      </c>
      <c r="G584" s="72">
        <v>0</v>
      </c>
      <c r="H584" s="72">
        <v>0</v>
      </c>
    </row>
    <row r="585" spans="2:8" ht="12">
      <c r="B585" s="64">
        <v>579</v>
      </c>
      <c r="C585" s="64" t="s">
        <v>1785</v>
      </c>
      <c r="D585" s="66" t="s">
        <v>1017</v>
      </c>
      <c r="E585" s="71">
        <v>0</v>
      </c>
      <c r="F585" s="71">
        <v>0</v>
      </c>
      <c r="G585" s="72">
        <v>0</v>
      </c>
      <c r="H585" s="72">
        <v>0</v>
      </c>
    </row>
    <row r="586" spans="2:8" ht="12">
      <c r="B586" s="64">
        <v>580</v>
      </c>
      <c r="C586" s="64" t="s">
        <v>2475</v>
      </c>
      <c r="D586" s="66" t="s">
        <v>2476</v>
      </c>
      <c r="E586" s="71">
        <v>0</v>
      </c>
      <c r="F586" s="71">
        <v>0</v>
      </c>
      <c r="G586" s="72">
        <v>0</v>
      </c>
      <c r="H586" s="72">
        <v>0</v>
      </c>
    </row>
    <row r="587" spans="2:8" ht="12">
      <c r="B587" s="64">
        <v>581</v>
      </c>
      <c r="C587" s="64" t="s">
        <v>1382</v>
      </c>
      <c r="D587" s="66" t="s">
        <v>1383</v>
      </c>
      <c r="E587" s="71">
        <v>0</v>
      </c>
      <c r="F587" s="71">
        <v>0</v>
      </c>
      <c r="G587" s="72">
        <v>0</v>
      </c>
      <c r="H587" s="72">
        <v>0</v>
      </c>
    </row>
    <row r="588" spans="2:8" ht="12">
      <c r="B588" s="64">
        <v>582</v>
      </c>
      <c r="C588" s="64" t="s">
        <v>1725</v>
      </c>
      <c r="D588" s="66" t="s">
        <v>1018</v>
      </c>
      <c r="E588" s="71">
        <v>0</v>
      </c>
      <c r="F588" s="71">
        <v>0</v>
      </c>
      <c r="G588" s="72">
        <v>0</v>
      </c>
      <c r="H588" s="72">
        <v>0</v>
      </c>
    </row>
    <row r="589" spans="2:8" ht="12">
      <c r="B589" s="64">
        <v>583</v>
      </c>
      <c r="C589" s="64" t="s">
        <v>1019</v>
      </c>
      <c r="D589" s="66" t="s">
        <v>2477</v>
      </c>
      <c r="E589" s="71">
        <v>0</v>
      </c>
      <c r="F589" s="71">
        <v>0</v>
      </c>
      <c r="G589" s="72">
        <v>0</v>
      </c>
      <c r="H589" s="72">
        <v>0</v>
      </c>
    </row>
    <row r="590" spans="2:8" ht="12">
      <c r="B590" s="64">
        <v>584</v>
      </c>
      <c r="C590" s="64" t="s">
        <v>2478</v>
      </c>
      <c r="D590" s="66" t="s">
        <v>1020</v>
      </c>
      <c r="E590" s="71">
        <v>0</v>
      </c>
      <c r="F590" s="71">
        <v>0</v>
      </c>
      <c r="G590" s="72">
        <v>0</v>
      </c>
      <c r="H590" s="72">
        <v>0</v>
      </c>
    </row>
    <row r="591" spans="2:8" ht="12">
      <c r="B591" s="64">
        <v>585</v>
      </c>
      <c r="C591" s="64" t="s">
        <v>2479</v>
      </c>
      <c r="D591" s="66" t="s">
        <v>2480</v>
      </c>
      <c r="E591" s="71">
        <v>0</v>
      </c>
      <c r="F591" s="71">
        <v>0</v>
      </c>
      <c r="G591" s="72">
        <v>0</v>
      </c>
      <c r="H591" s="72">
        <v>0</v>
      </c>
    </row>
    <row r="592" spans="2:8" ht="12">
      <c r="B592" s="64">
        <v>586</v>
      </c>
      <c r="C592" s="64" t="s">
        <v>1021</v>
      </c>
      <c r="D592" s="66" t="s">
        <v>2481</v>
      </c>
      <c r="E592" s="71">
        <v>0</v>
      </c>
      <c r="F592" s="71">
        <v>0</v>
      </c>
      <c r="G592" s="72">
        <v>0</v>
      </c>
      <c r="H592" s="72">
        <v>0</v>
      </c>
    </row>
    <row r="593" spans="2:8" ht="12">
      <c r="B593" s="64">
        <v>587</v>
      </c>
      <c r="C593" s="64" t="s">
        <v>1532</v>
      </c>
      <c r="D593" s="66" t="s">
        <v>1022</v>
      </c>
      <c r="E593" s="71">
        <v>0</v>
      </c>
      <c r="F593" s="71">
        <v>0</v>
      </c>
      <c r="G593" s="72">
        <v>0</v>
      </c>
      <c r="H593" s="72">
        <v>0</v>
      </c>
    </row>
    <row r="594" spans="2:8" ht="12">
      <c r="B594" s="64">
        <v>588</v>
      </c>
      <c r="C594" s="64" t="s">
        <v>2482</v>
      </c>
      <c r="D594" s="66" t="s">
        <v>1023</v>
      </c>
      <c r="E594" s="71">
        <v>0</v>
      </c>
      <c r="F594" s="71">
        <v>0</v>
      </c>
      <c r="G594" s="72">
        <v>0</v>
      </c>
      <c r="H594" s="72">
        <v>0</v>
      </c>
    </row>
    <row r="595" spans="2:8" ht="12">
      <c r="B595" s="64">
        <v>589</v>
      </c>
      <c r="C595" s="64" t="s">
        <v>1024</v>
      </c>
      <c r="D595" s="66" t="s">
        <v>2483</v>
      </c>
      <c r="E595" s="71">
        <v>0</v>
      </c>
      <c r="F595" s="71">
        <v>0</v>
      </c>
      <c r="G595" s="72">
        <v>0</v>
      </c>
      <c r="H595" s="72">
        <v>0</v>
      </c>
    </row>
    <row r="596" spans="2:8" ht="12">
      <c r="B596" s="64">
        <v>590</v>
      </c>
      <c r="C596" s="64" t="s">
        <v>2484</v>
      </c>
      <c r="D596" s="66" t="s">
        <v>2485</v>
      </c>
      <c r="E596" s="71">
        <v>0</v>
      </c>
      <c r="F596" s="71">
        <v>0</v>
      </c>
      <c r="G596" s="72">
        <v>0</v>
      </c>
      <c r="H596" s="72">
        <v>0</v>
      </c>
    </row>
    <row r="597" spans="2:8" ht="12">
      <c r="B597" s="64">
        <v>591</v>
      </c>
      <c r="C597" s="64" t="s">
        <v>1828</v>
      </c>
      <c r="D597" s="66" t="s">
        <v>2486</v>
      </c>
      <c r="E597" s="71">
        <v>0</v>
      </c>
      <c r="F597" s="71">
        <v>0</v>
      </c>
      <c r="G597" s="72">
        <v>0</v>
      </c>
      <c r="H597" s="72">
        <v>0</v>
      </c>
    </row>
    <row r="598" spans="2:8" ht="12">
      <c r="B598" s="64">
        <v>592</v>
      </c>
      <c r="C598" s="64" t="s">
        <v>1786</v>
      </c>
      <c r="D598" s="66" t="s">
        <v>603</v>
      </c>
      <c r="E598" s="71">
        <v>0</v>
      </c>
      <c r="F598" s="71">
        <v>0</v>
      </c>
      <c r="G598" s="72">
        <v>0</v>
      </c>
      <c r="H598" s="72">
        <v>0</v>
      </c>
    </row>
    <row r="599" spans="2:8" ht="12">
      <c r="B599" s="64">
        <v>593</v>
      </c>
      <c r="C599" s="64" t="s">
        <v>1025</v>
      </c>
      <c r="D599" s="66" t="s">
        <v>1533</v>
      </c>
      <c r="E599" s="71">
        <v>0</v>
      </c>
      <c r="F599" s="71">
        <v>0</v>
      </c>
      <c r="G599" s="72">
        <v>0</v>
      </c>
      <c r="H599" s="72">
        <v>0</v>
      </c>
    </row>
    <row r="600" spans="2:8" ht="12">
      <c r="B600" s="64">
        <v>594</v>
      </c>
      <c r="C600" s="64" t="s">
        <v>2487</v>
      </c>
      <c r="D600" s="66" t="s">
        <v>1811</v>
      </c>
      <c r="E600" s="71">
        <v>0</v>
      </c>
      <c r="F600" s="71">
        <v>0</v>
      </c>
      <c r="G600" s="72">
        <v>0</v>
      </c>
      <c r="H600" s="72">
        <v>0</v>
      </c>
    </row>
    <row r="601" spans="2:8" ht="12">
      <c r="B601" s="64">
        <v>595</v>
      </c>
      <c r="C601" s="64" t="s">
        <v>1925</v>
      </c>
      <c r="D601" s="66" t="s">
        <v>1026</v>
      </c>
      <c r="E601" s="71">
        <v>0</v>
      </c>
      <c r="F601" s="71">
        <v>0</v>
      </c>
      <c r="G601" s="72">
        <v>0</v>
      </c>
      <c r="H601" s="72">
        <v>0</v>
      </c>
    </row>
    <row r="602" spans="2:8" ht="12">
      <c r="B602" s="64">
        <v>596</v>
      </c>
      <c r="C602" s="64" t="s">
        <v>1027</v>
      </c>
      <c r="D602" s="66" t="s">
        <v>1028</v>
      </c>
      <c r="E602" s="71">
        <v>0</v>
      </c>
      <c r="F602" s="71">
        <v>0</v>
      </c>
      <c r="G602" s="72">
        <v>0</v>
      </c>
      <c r="H602" s="72">
        <v>0</v>
      </c>
    </row>
    <row r="603" spans="2:8" ht="12">
      <c r="B603" s="64">
        <v>597</v>
      </c>
      <c r="C603" s="64" t="s">
        <v>1812</v>
      </c>
      <c r="D603" s="66" t="s">
        <v>1813</v>
      </c>
      <c r="E603" s="71">
        <v>0</v>
      </c>
      <c r="F603" s="71">
        <v>0</v>
      </c>
      <c r="G603" s="72">
        <v>0</v>
      </c>
      <c r="H603" s="72">
        <v>0</v>
      </c>
    </row>
    <row r="604" spans="2:8" ht="12">
      <c r="B604" s="64">
        <v>598</v>
      </c>
      <c r="C604" s="64" t="s">
        <v>1384</v>
      </c>
      <c r="D604" s="66" t="s">
        <v>1029</v>
      </c>
      <c r="E604" s="71">
        <v>0</v>
      </c>
      <c r="F604" s="71">
        <v>0</v>
      </c>
      <c r="G604" s="72">
        <v>0</v>
      </c>
      <c r="H604" s="72">
        <v>0</v>
      </c>
    </row>
    <row r="605" spans="2:8" ht="12">
      <c r="B605" s="64">
        <v>599</v>
      </c>
      <c r="C605" s="64" t="s">
        <v>604</v>
      </c>
      <c r="D605" s="66" t="s">
        <v>2488</v>
      </c>
      <c r="E605" s="71">
        <v>0</v>
      </c>
      <c r="F605" s="71">
        <v>0</v>
      </c>
      <c r="G605" s="72">
        <v>0</v>
      </c>
      <c r="H605" s="72">
        <v>0</v>
      </c>
    </row>
    <row r="606" spans="2:8" ht="12">
      <c r="B606" s="64">
        <v>600</v>
      </c>
      <c r="C606" s="64" t="s">
        <v>2489</v>
      </c>
      <c r="D606" s="66" t="s">
        <v>1030</v>
      </c>
      <c r="E606" s="71">
        <v>0</v>
      </c>
      <c r="F606" s="71">
        <v>0</v>
      </c>
      <c r="G606" s="72">
        <v>0</v>
      </c>
      <c r="H606" s="72">
        <v>0</v>
      </c>
    </row>
    <row r="607" spans="2:8" ht="12">
      <c r="B607" s="64">
        <v>601</v>
      </c>
      <c r="C607" s="64" t="s">
        <v>1385</v>
      </c>
      <c r="D607" s="66" t="s">
        <v>2490</v>
      </c>
      <c r="E607" s="71">
        <v>0</v>
      </c>
      <c r="F607" s="71">
        <v>0</v>
      </c>
      <c r="G607" s="72">
        <v>0</v>
      </c>
      <c r="H607" s="72">
        <v>0</v>
      </c>
    </row>
    <row r="608" spans="2:8" ht="12">
      <c r="B608" s="64">
        <v>602</v>
      </c>
      <c r="C608" s="64" t="s">
        <v>1031</v>
      </c>
      <c r="D608" s="66" t="s">
        <v>1853</v>
      </c>
      <c r="E608" s="71">
        <v>0</v>
      </c>
      <c r="F608" s="71">
        <v>0</v>
      </c>
      <c r="G608" s="72">
        <v>0</v>
      </c>
      <c r="H608" s="72">
        <v>0</v>
      </c>
    </row>
    <row r="609" spans="2:8" ht="12">
      <c r="B609" s="64">
        <v>603</v>
      </c>
      <c r="C609" s="64" t="s">
        <v>2491</v>
      </c>
      <c r="D609" s="66" t="s">
        <v>2492</v>
      </c>
      <c r="E609" s="71">
        <v>0</v>
      </c>
      <c r="F609" s="71">
        <v>0</v>
      </c>
      <c r="G609" s="72">
        <v>0</v>
      </c>
      <c r="H609" s="72">
        <v>0</v>
      </c>
    </row>
    <row r="610" spans="2:8" ht="12">
      <c r="B610" s="64">
        <v>604</v>
      </c>
      <c r="C610" s="64" t="s">
        <v>2493</v>
      </c>
      <c r="D610" s="66" t="s">
        <v>2494</v>
      </c>
      <c r="E610" s="71">
        <v>0</v>
      </c>
      <c r="F610" s="71">
        <v>0</v>
      </c>
      <c r="G610" s="72">
        <v>0</v>
      </c>
      <c r="H610" s="72">
        <v>0</v>
      </c>
    </row>
    <row r="611" spans="2:8" ht="12">
      <c r="B611" s="64">
        <v>605</v>
      </c>
      <c r="C611" s="64" t="s">
        <v>1032</v>
      </c>
      <c r="D611" s="66" t="s">
        <v>1386</v>
      </c>
      <c r="E611" s="71">
        <v>0</v>
      </c>
      <c r="F611" s="71">
        <v>0</v>
      </c>
      <c r="G611" s="72">
        <v>0</v>
      </c>
      <c r="H611" s="72">
        <v>0</v>
      </c>
    </row>
    <row r="612" spans="2:8" ht="12">
      <c r="B612" s="64">
        <v>606</v>
      </c>
      <c r="C612" s="64" t="s">
        <v>1787</v>
      </c>
      <c r="D612" s="66" t="s">
        <v>2495</v>
      </c>
      <c r="E612" s="71">
        <v>0</v>
      </c>
      <c r="F612" s="71">
        <v>0</v>
      </c>
      <c r="G612" s="72">
        <v>0</v>
      </c>
      <c r="H612" s="72">
        <v>0</v>
      </c>
    </row>
    <row r="613" spans="2:8" ht="12">
      <c r="B613" s="64">
        <v>607</v>
      </c>
      <c r="C613" s="64" t="s">
        <v>2496</v>
      </c>
      <c r="D613" s="66" t="s">
        <v>2497</v>
      </c>
      <c r="E613" s="71">
        <v>0</v>
      </c>
      <c r="F613" s="71">
        <v>0</v>
      </c>
      <c r="G613" s="72">
        <v>0</v>
      </c>
      <c r="H613" s="72">
        <v>0</v>
      </c>
    </row>
    <row r="614" spans="2:8" ht="12">
      <c r="B614" s="64">
        <v>608</v>
      </c>
      <c r="C614" s="64" t="s">
        <v>1033</v>
      </c>
      <c r="D614" s="66" t="s">
        <v>1034</v>
      </c>
      <c r="E614" s="71">
        <v>0</v>
      </c>
      <c r="F614" s="71">
        <v>0</v>
      </c>
      <c r="G614" s="72">
        <v>0</v>
      </c>
      <c r="H614" s="72">
        <v>0</v>
      </c>
    </row>
    <row r="615" spans="2:8" ht="12">
      <c r="B615" s="64">
        <v>609</v>
      </c>
      <c r="C615" s="64" t="s">
        <v>1534</v>
      </c>
      <c r="D615" s="66" t="s">
        <v>2498</v>
      </c>
      <c r="E615" s="71">
        <v>0</v>
      </c>
      <c r="F615" s="71">
        <v>0</v>
      </c>
      <c r="G615" s="72">
        <v>0</v>
      </c>
      <c r="H615" s="72">
        <v>0</v>
      </c>
    </row>
    <row r="616" spans="2:8" ht="12">
      <c r="B616" s="64">
        <v>610</v>
      </c>
      <c r="C616" s="64" t="s">
        <v>2499</v>
      </c>
      <c r="D616" s="66" t="s">
        <v>605</v>
      </c>
      <c r="E616" s="71">
        <v>0</v>
      </c>
      <c r="F616" s="71">
        <v>0</v>
      </c>
      <c r="G616" s="72">
        <v>0</v>
      </c>
      <c r="H616" s="72">
        <v>0</v>
      </c>
    </row>
    <row r="617" spans="2:8" ht="12">
      <c r="B617" s="64">
        <v>611</v>
      </c>
      <c r="C617" s="64" t="s">
        <v>2500</v>
      </c>
      <c r="D617" s="66" t="s">
        <v>2501</v>
      </c>
      <c r="E617" s="71">
        <v>0</v>
      </c>
      <c r="F617" s="71">
        <v>0</v>
      </c>
      <c r="G617" s="72">
        <v>0</v>
      </c>
      <c r="H617" s="72">
        <v>0</v>
      </c>
    </row>
    <row r="618" spans="2:8" ht="12">
      <c r="B618" s="64">
        <v>612</v>
      </c>
      <c r="C618" s="64" t="s">
        <v>2502</v>
      </c>
      <c r="D618" s="66" t="s">
        <v>1035</v>
      </c>
      <c r="E618" s="71">
        <v>0</v>
      </c>
      <c r="F618" s="71">
        <v>0</v>
      </c>
      <c r="G618" s="72">
        <v>0</v>
      </c>
      <c r="H618" s="72">
        <v>0</v>
      </c>
    </row>
    <row r="619" spans="2:8" ht="12">
      <c r="B619" s="64">
        <v>613</v>
      </c>
      <c r="C619" s="64" t="s">
        <v>1535</v>
      </c>
      <c r="D619" s="66" t="s">
        <v>2503</v>
      </c>
      <c r="E619" s="71">
        <v>0</v>
      </c>
      <c r="F619" s="71">
        <v>0</v>
      </c>
      <c r="G619" s="72">
        <v>0</v>
      </c>
      <c r="H619" s="72">
        <v>0</v>
      </c>
    </row>
    <row r="620" spans="2:8" ht="12">
      <c r="B620" s="64">
        <v>614</v>
      </c>
      <c r="C620" s="64" t="s">
        <v>1387</v>
      </c>
      <c r="D620" s="66" t="s">
        <v>2504</v>
      </c>
      <c r="E620" s="71">
        <v>0</v>
      </c>
      <c r="F620" s="71">
        <v>0</v>
      </c>
      <c r="G620" s="72">
        <v>0</v>
      </c>
      <c r="H620" s="72">
        <v>0</v>
      </c>
    </row>
    <row r="621" spans="2:8" ht="12">
      <c r="B621" s="64">
        <v>615</v>
      </c>
      <c r="C621" s="64" t="s">
        <v>1036</v>
      </c>
      <c r="D621" s="66" t="s">
        <v>1388</v>
      </c>
      <c r="E621" s="71">
        <v>0</v>
      </c>
      <c r="F621" s="71">
        <v>0</v>
      </c>
      <c r="G621" s="72">
        <v>0</v>
      </c>
      <c r="H621" s="72">
        <v>0</v>
      </c>
    </row>
    <row r="622" spans="2:8" ht="12">
      <c r="B622" s="64">
        <v>616</v>
      </c>
      <c r="C622" s="64" t="s">
        <v>2505</v>
      </c>
      <c r="D622" s="66" t="s">
        <v>1037</v>
      </c>
      <c r="E622" s="71">
        <v>0</v>
      </c>
      <c r="F622" s="71">
        <v>0</v>
      </c>
      <c r="G622" s="72">
        <v>0</v>
      </c>
      <c r="H622" s="72">
        <v>0</v>
      </c>
    </row>
    <row r="623" spans="2:8" ht="12">
      <c r="B623" s="64">
        <v>617</v>
      </c>
      <c r="C623" s="64" t="s">
        <v>2506</v>
      </c>
      <c r="D623" s="66" t="s">
        <v>2507</v>
      </c>
      <c r="E623" s="71">
        <v>0</v>
      </c>
      <c r="F623" s="71">
        <v>0</v>
      </c>
      <c r="G623" s="72">
        <v>0</v>
      </c>
      <c r="H623" s="72">
        <v>0</v>
      </c>
    </row>
    <row r="624" spans="2:8" ht="12">
      <c r="B624" s="64">
        <v>618</v>
      </c>
      <c r="C624" s="64" t="s">
        <v>1869</v>
      </c>
      <c r="D624" s="66" t="s">
        <v>1038</v>
      </c>
      <c r="E624" s="71">
        <v>0</v>
      </c>
      <c r="F624" s="71">
        <v>0</v>
      </c>
      <c r="G624" s="72">
        <v>0</v>
      </c>
      <c r="H624" s="72">
        <v>0</v>
      </c>
    </row>
    <row r="625" spans="2:8" ht="12">
      <c r="B625" s="64">
        <v>619</v>
      </c>
      <c r="C625" s="64" t="s">
        <v>1039</v>
      </c>
      <c r="D625" s="66" t="s">
        <v>1040</v>
      </c>
      <c r="E625" s="71">
        <v>0</v>
      </c>
      <c r="F625" s="71">
        <v>0</v>
      </c>
      <c r="G625" s="72">
        <v>0</v>
      </c>
      <c r="H625" s="72">
        <v>0</v>
      </c>
    </row>
    <row r="626" spans="2:8" ht="12">
      <c r="B626" s="64">
        <v>620</v>
      </c>
      <c r="C626" s="64" t="s">
        <v>1041</v>
      </c>
      <c r="D626" s="66" t="s">
        <v>1042</v>
      </c>
      <c r="E626" s="71">
        <v>0</v>
      </c>
      <c r="F626" s="71">
        <v>0</v>
      </c>
      <c r="G626" s="72">
        <v>0</v>
      </c>
      <c r="H626" s="72">
        <v>0</v>
      </c>
    </row>
    <row r="627" spans="2:8" ht="12">
      <c r="B627" s="64">
        <v>621</v>
      </c>
      <c r="C627" s="64" t="s">
        <v>1726</v>
      </c>
      <c r="D627" s="66" t="s">
        <v>2508</v>
      </c>
      <c r="E627" s="71">
        <v>0</v>
      </c>
      <c r="F627" s="71">
        <v>0</v>
      </c>
      <c r="G627" s="72">
        <v>0</v>
      </c>
      <c r="H627" s="72">
        <v>0</v>
      </c>
    </row>
    <row r="628" spans="2:8" ht="12">
      <c r="B628" s="64">
        <v>622</v>
      </c>
      <c r="C628" s="64" t="s">
        <v>2509</v>
      </c>
      <c r="D628" s="66" t="s">
        <v>2510</v>
      </c>
      <c r="E628" s="71">
        <v>0</v>
      </c>
      <c r="F628" s="71">
        <v>0</v>
      </c>
      <c r="G628" s="72">
        <v>0</v>
      </c>
      <c r="H628" s="72">
        <v>0</v>
      </c>
    </row>
    <row r="629" spans="2:8" ht="12">
      <c r="B629" s="64">
        <v>623</v>
      </c>
      <c r="C629" s="64" t="s">
        <v>1043</v>
      </c>
      <c r="D629" s="66" t="s">
        <v>2511</v>
      </c>
      <c r="E629" s="71">
        <v>0</v>
      </c>
      <c r="F629" s="71">
        <v>0</v>
      </c>
      <c r="G629" s="72">
        <v>0</v>
      </c>
      <c r="H629" s="72">
        <v>0</v>
      </c>
    </row>
    <row r="630" spans="2:8" ht="12">
      <c r="B630" s="64">
        <v>624</v>
      </c>
      <c r="C630" s="64" t="s">
        <v>2512</v>
      </c>
      <c r="D630" s="66" t="s">
        <v>1389</v>
      </c>
      <c r="E630" s="71">
        <v>0</v>
      </c>
      <c r="F630" s="71">
        <v>0</v>
      </c>
      <c r="G630" s="72">
        <v>0</v>
      </c>
      <c r="H630" s="72">
        <v>0</v>
      </c>
    </row>
    <row r="631" spans="2:8" ht="12">
      <c r="B631" s="64">
        <v>625</v>
      </c>
      <c r="C631" s="64" t="s">
        <v>1390</v>
      </c>
      <c r="D631" s="66" t="s">
        <v>2513</v>
      </c>
      <c r="E631" s="71">
        <v>0</v>
      </c>
      <c r="F631" s="71">
        <v>0</v>
      </c>
      <c r="G631" s="72">
        <v>0</v>
      </c>
      <c r="H631" s="72">
        <v>0</v>
      </c>
    </row>
    <row r="632" spans="2:8" ht="12">
      <c r="B632" s="64">
        <v>626</v>
      </c>
      <c r="C632" s="64" t="s">
        <v>1044</v>
      </c>
      <c r="D632" s="66" t="s">
        <v>1045</v>
      </c>
      <c r="E632" s="71">
        <v>0</v>
      </c>
      <c r="F632" s="71">
        <v>0</v>
      </c>
      <c r="G632" s="72">
        <v>0</v>
      </c>
      <c r="H632" s="72">
        <v>0</v>
      </c>
    </row>
    <row r="633" spans="2:8" ht="12">
      <c r="B633" s="64">
        <v>627</v>
      </c>
      <c r="C633" s="64" t="s">
        <v>2514</v>
      </c>
      <c r="D633" s="66" t="s">
        <v>606</v>
      </c>
      <c r="E633" s="71">
        <v>0</v>
      </c>
      <c r="F633" s="71">
        <v>0</v>
      </c>
      <c r="G633" s="72">
        <v>0</v>
      </c>
      <c r="H633" s="72">
        <v>0</v>
      </c>
    </row>
    <row r="634" spans="2:8" ht="12">
      <c r="B634" s="64">
        <v>628</v>
      </c>
      <c r="C634" s="64" t="s">
        <v>1727</v>
      </c>
      <c r="D634" s="66" t="s">
        <v>1391</v>
      </c>
      <c r="E634" s="71">
        <v>0</v>
      </c>
      <c r="F634" s="71">
        <v>0</v>
      </c>
      <c r="G634" s="72">
        <v>0</v>
      </c>
      <c r="H634" s="72">
        <v>0</v>
      </c>
    </row>
    <row r="635" spans="2:8" ht="12">
      <c r="B635" s="64">
        <v>629</v>
      </c>
      <c r="C635" s="64" t="s">
        <v>1392</v>
      </c>
      <c r="D635" s="66" t="s">
        <v>2515</v>
      </c>
      <c r="E635" s="71">
        <v>0</v>
      </c>
      <c r="F635" s="71">
        <v>0</v>
      </c>
      <c r="G635" s="72">
        <v>0</v>
      </c>
      <c r="H635" s="72">
        <v>0</v>
      </c>
    </row>
    <row r="636" spans="2:8" ht="12">
      <c r="B636" s="64">
        <v>630</v>
      </c>
      <c r="C636" s="64" t="s">
        <v>2516</v>
      </c>
      <c r="D636" s="66" t="s">
        <v>1900</v>
      </c>
      <c r="E636" s="71">
        <v>0</v>
      </c>
      <c r="F636" s="71">
        <v>0</v>
      </c>
      <c r="G636" s="72">
        <v>0</v>
      </c>
      <c r="H636" s="72">
        <v>0</v>
      </c>
    </row>
    <row r="637" spans="2:8" ht="12">
      <c r="B637" s="64">
        <v>631</v>
      </c>
      <c r="C637" s="64" t="s">
        <v>2517</v>
      </c>
      <c r="D637" s="66" t="s">
        <v>1890</v>
      </c>
      <c r="E637" s="71">
        <v>0</v>
      </c>
      <c r="F637" s="71">
        <v>0</v>
      </c>
      <c r="G637" s="72">
        <v>0</v>
      </c>
      <c r="H637" s="72">
        <v>0</v>
      </c>
    </row>
    <row r="638" spans="2:8" ht="12">
      <c r="B638" s="64">
        <v>632</v>
      </c>
      <c r="C638" s="64" t="s">
        <v>1046</v>
      </c>
      <c r="D638" s="66" t="s">
        <v>1047</v>
      </c>
      <c r="E638" s="71">
        <v>0</v>
      </c>
      <c r="F638" s="71">
        <v>0</v>
      </c>
      <c r="G638" s="72">
        <v>0</v>
      </c>
      <c r="H638" s="72">
        <v>0</v>
      </c>
    </row>
    <row r="639" spans="2:8" ht="12">
      <c r="B639" s="64">
        <v>633</v>
      </c>
      <c r="C639" s="64" t="s">
        <v>1393</v>
      </c>
      <c r="D639" s="66" t="s">
        <v>2518</v>
      </c>
      <c r="E639" s="71">
        <v>0</v>
      </c>
      <c r="F639" s="71">
        <v>0</v>
      </c>
      <c r="G639" s="72">
        <v>0</v>
      </c>
      <c r="H639" s="72">
        <v>0</v>
      </c>
    </row>
    <row r="640" spans="2:8" ht="12">
      <c r="B640" s="64">
        <v>634</v>
      </c>
      <c r="C640" s="64" t="s">
        <v>1394</v>
      </c>
      <c r="D640" s="66" t="s">
        <v>1048</v>
      </c>
      <c r="E640" s="71">
        <v>0</v>
      </c>
      <c r="F640" s="71">
        <v>0</v>
      </c>
      <c r="G640" s="72">
        <v>0</v>
      </c>
      <c r="H640" s="72">
        <v>0</v>
      </c>
    </row>
    <row r="641" spans="2:8" ht="12">
      <c r="B641" s="64">
        <v>635</v>
      </c>
      <c r="C641" s="64" t="s">
        <v>1728</v>
      </c>
      <c r="D641" s="66" t="s">
        <v>1729</v>
      </c>
      <c r="E641" s="71">
        <v>0</v>
      </c>
      <c r="F641" s="71">
        <v>0</v>
      </c>
      <c r="G641" s="72">
        <v>0</v>
      </c>
      <c r="H641" s="72">
        <v>0</v>
      </c>
    </row>
    <row r="642" spans="2:8" ht="12">
      <c r="B642" s="64">
        <v>636</v>
      </c>
      <c r="C642" s="64" t="s">
        <v>1730</v>
      </c>
      <c r="D642" s="66" t="s">
        <v>2519</v>
      </c>
      <c r="E642" s="71">
        <v>0</v>
      </c>
      <c r="F642" s="71">
        <v>0</v>
      </c>
      <c r="G642" s="72">
        <v>0</v>
      </c>
      <c r="H642" s="72">
        <v>0</v>
      </c>
    </row>
    <row r="643" spans="2:8" ht="12">
      <c r="B643" s="64">
        <v>637</v>
      </c>
      <c r="C643" s="64" t="s">
        <v>1731</v>
      </c>
      <c r="D643" s="66" t="s">
        <v>1870</v>
      </c>
      <c r="E643" s="71">
        <v>0</v>
      </c>
      <c r="F643" s="71">
        <v>0</v>
      </c>
      <c r="G643" s="72">
        <v>0</v>
      </c>
      <c r="H643" s="72">
        <v>0</v>
      </c>
    </row>
    <row r="644" spans="2:8" ht="12">
      <c r="B644" s="64">
        <v>638</v>
      </c>
      <c r="C644" s="64" t="s">
        <v>1049</v>
      </c>
      <c r="D644" s="66" t="s">
        <v>607</v>
      </c>
      <c r="E644" s="71">
        <v>0</v>
      </c>
      <c r="F644" s="71">
        <v>0</v>
      </c>
      <c r="G644" s="72">
        <v>0</v>
      </c>
      <c r="H644" s="72">
        <v>0</v>
      </c>
    </row>
    <row r="645" spans="2:8" ht="12">
      <c r="B645" s="64">
        <v>639</v>
      </c>
      <c r="C645" s="64" t="s">
        <v>2520</v>
      </c>
      <c r="D645" s="66" t="s">
        <v>1871</v>
      </c>
      <c r="E645" s="71">
        <v>0</v>
      </c>
      <c r="F645" s="71">
        <v>0</v>
      </c>
      <c r="G645" s="72">
        <v>0</v>
      </c>
      <c r="H645" s="72">
        <v>0</v>
      </c>
    </row>
    <row r="646" spans="2:8" ht="12">
      <c r="B646" s="64">
        <v>640</v>
      </c>
      <c r="C646" s="64" t="s">
        <v>1050</v>
      </c>
      <c r="D646" s="66" t="s">
        <v>1934</v>
      </c>
      <c r="E646" s="71">
        <v>0</v>
      </c>
      <c r="F646" s="71">
        <v>0</v>
      </c>
      <c r="G646" s="72">
        <v>0</v>
      </c>
      <c r="H646" s="72">
        <v>0</v>
      </c>
    </row>
    <row r="647" spans="2:8" ht="12">
      <c r="B647" s="64">
        <v>641</v>
      </c>
      <c r="C647" s="64" t="s">
        <v>2521</v>
      </c>
      <c r="D647" s="66" t="s">
        <v>1051</v>
      </c>
      <c r="E647" s="71">
        <v>0</v>
      </c>
      <c r="F647" s="71">
        <v>0</v>
      </c>
      <c r="G647" s="72">
        <v>0</v>
      </c>
      <c r="H647" s="72">
        <v>0</v>
      </c>
    </row>
    <row r="648" spans="2:8" ht="12">
      <c r="B648" s="64">
        <v>642</v>
      </c>
      <c r="C648" s="64" t="s">
        <v>2522</v>
      </c>
      <c r="D648" s="66" t="s">
        <v>2523</v>
      </c>
      <c r="E648" s="71">
        <v>0</v>
      </c>
      <c r="F648" s="71">
        <v>0</v>
      </c>
      <c r="G648" s="72">
        <v>0</v>
      </c>
      <c r="H648" s="72">
        <v>0</v>
      </c>
    </row>
    <row r="649" spans="2:8" ht="12">
      <c r="B649" s="64">
        <v>643</v>
      </c>
      <c r="C649" s="64" t="s">
        <v>608</v>
      </c>
      <c r="D649" s="66" t="s">
        <v>2524</v>
      </c>
      <c r="E649" s="71">
        <v>0</v>
      </c>
      <c r="F649" s="71">
        <v>0</v>
      </c>
      <c r="G649" s="72">
        <v>0</v>
      </c>
      <c r="H649" s="72">
        <v>0</v>
      </c>
    </row>
    <row r="650" spans="2:8" ht="12">
      <c r="B650" s="64">
        <v>644</v>
      </c>
      <c r="C650" s="64" t="s">
        <v>2525</v>
      </c>
      <c r="D650" s="66" t="s">
        <v>1052</v>
      </c>
      <c r="E650" s="71">
        <v>0</v>
      </c>
      <c r="F650" s="71">
        <v>0</v>
      </c>
      <c r="G650" s="72">
        <v>0</v>
      </c>
      <c r="H650" s="72">
        <v>0</v>
      </c>
    </row>
    <row r="651" spans="2:8" ht="12">
      <c r="B651" s="64">
        <v>645</v>
      </c>
      <c r="C651" s="64" t="s">
        <v>1732</v>
      </c>
      <c r="D651" s="66" t="s">
        <v>1733</v>
      </c>
      <c r="E651" s="71">
        <v>0</v>
      </c>
      <c r="F651" s="71">
        <v>0</v>
      </c>
      <c r="G651" s="72">
        <v>0</v>
      </c>
      <c r="H651" s="72">
        <v>0</v>
      </c>
    </row>
    <row r="652" spans="2:8" ht="12">
      <c r="B652" s="64">
        <v>646</v>
      </c>
      <c r="C652" s="64" t="s">
        <v>2526</v>
      </c>
      <c r="D652" s="66" t="s">
        <v>1901</v>
      </c>
      <c r="E652" s="71">
        <v>0</v>
      </c>
      <c r="F652" s="71">
        <v>0</v>
      </c>
      <c r="G652" s="72">
        <v>0</v>
      </c>
      <c r="H652" s="72">
        <v>0</v>
      </c>
    </row>
    <row r="653" spans="2:8" ht="12">
      <c r="B653" s="64">
        <v>647</v>
      </c>
      <c r="C653" s="64" t="s">
        <v>1053</v>
      </c>
      <c r="D653" s="66" t="s">
        <v>1054</v>
      </c>
      <c r="E653" s="71">
        <v>0</v>
      </c>
      <c r="F653" s="71">
        <v>0</v>
      </c>
      <c r="G653" s="72">
        <v>0</v>
      </c>
      <c r="H653" s="72">
        <v>0</v>
      </c>
    </row>
    <row r="654" spans="2:8" ht="12">
      <c r="B654" s="64">
        <v>648</v>
      </c>
      <c r="C654" s="64" t="s">
        <v>2527</v>
      </c>
      <c r="D654" s="66" t="s">
        <v>1395</v>
      </c>
      <c r="E654" s="71">
        <v>0</v>
      </c>
      <c r="F654" s="71">
        <v>0</v>
      </c>
      <c r="G654" s="72">
        <v>0</v>
      </c>
      <c r="H654" s="72">
        <v>0</v>
      </c>
    </row>
    <row r="655" spans="2:8" ht="12">
      <c r="B655" s="64">
        <v>649</v>
      </c>
      <c r="C655" s="64" t="s">
        <v>2528</v>
      </c>
      <c r="D655" s="66" t="s">
        <v>2529</v>
      </c>
      <c r="E655" s="71">
        <v>0</v>
      </c>
      <c r="F655" s="71">
        <v>0</v>
      </c>
      <c r="G655" s="72">
        <v>0</v>
      </c>
      <c r="H655" s="72">
        <v>0</v>
      </c>
    </row>
    <row r="656" spans="2:8" ht="12">
      <c r="B656" s="64">
        <v>650</v>
      </c>
      <c r="C656" s="64" t="s">
        <v>609</v>
      </c>
      <c r="D656" s="66" t="s">
        <v>1914</v>
      </c>
      <c r="E656" s="71">
        <v>0</v>
      </c>
      <c r="F656" s="71">
        <v>0</v>
      </c>
      <c r="G656" s="72">
        <v>0</v>
      </c>
      <c r="H656" s="72">
        <v>0</v>
      </c>
    </row>
    <row r="657" spans="2:8" ht="12">
      <c r="B657" s="64">
        <v>651</v>
      </c>
      <c r="C657" s="64" t="s">
        <v>2530</v>
      </c>
      <c r="D657" s="66" t="s">
        <v>2531</v>
      </c>
      <c r="E657" s="71">
        <v>0</v>
      </c>
      <c r="F657" s="71">
        <v>0</v>
      </c>
      <c r="G657" s="72">
        <v>0</v>
      </c>
      <c r="H657" s="72">
        <v>0</v>
      </c>
    </row>
    <row r="658" spans="2:8" ht="12">
      <c r="B658" s="64">
        <v>652</v>
      </c>
      <c r="C658" s="64" t="s">
        <v>1055</v>
      </c>
      <c r="D658" s="66" t="s">
        <v>1396</v>
      </c>
      <c r="E658" s="71">
        <v>0</v>
      </c>
      <c r="F658" s="71">
        <v>0</v>
      </c>
      <c r="G658" s="72">
        <v>0</v>
      </c>
      <c r="H658" s="72">
        <v>0</v>
      </c>
    </row>
    <row r="659" spans="2:8" ht="12">
      <c r="B659" s="64">
        <v>653</v>
      </c>
      <c r="C659" s="64" t="s">
        <v>2532</v>
      </c>
      <c r="D659" s="66" t="s">
        <v>1056</v>
      </c>
      <c r="E659" s="71">
        <v>0</v>
      </c>
      <c r="F659" s="71">
        <v>0</v>
      </c>
      <c r="G659" s="72">
        <v>0</v>
      </c>
      <c r="H659" s="72">
        <v>0</v>
      </c>
    </row>
    <row r="660" spans="2:8" ht="12">
      <c r="B660" s="64">
        <v>654</v>
      </c>
      <c r="C660" s="64" t="s">
        <v>2533</v>
      </c>
      <c r="D660" s="66" t="s">
        <v>610</v>
      </c>
      <c r="E660" s="71">
        <v>0</v>
      </c>
      <c r="F660" s="71">
        <v>0</v>
      </c>
      <c r="G660" s="72">
        <v>0</v>
      </c>
      <c r="H660" s="72">
        <v>0</v>
      </c>
    </row>
    <row r="661" spans="2:8" ht="12">
      <c r="B661" s="64">
        <v>655</v>
      </c>
      <c r="C661" s="64" t="s">
        <v>2534</v>
      </c>
      <c r="D661" s="66" t="s">
        <v>2535</v>
      </c>
      <c r="E661" s="71">
        <v>0</v>
      </c>
      <c r="F661" s="71">
        <v>0</v>
      </c>
      <c r="G661" s="72">
        <v>0</v>
      </c>
      <c r="H661" s="72">
        <v>0</v>
      </c>
    </row>
    <row r="662" spans="2:8" ht="12">
      <c r="B662" s="64">
        <v>656</v>
      </c>
      <c r="C662" s="64" t="s">
        <v>2536</v>
      </c>
      <c r="D662" s="66" t="s">
        <v>1057</v>
      </c>
      <c r="E662" s="71">
        <v>0</v>
      </c>
      <c r="F662" s="71">
        <v>0</v>
      </c>
      <c r="G662" s="72">
        <v>0</v>
      </c>
      <c r="H662" s="72">
        <v>0</v>
      </c>
    </row>
    <row r="663" spans="2:8" ht="12">
      <c r="B663" s="64">
        <v>657</v>
      </c>
      <c r="C663" s="64" t="s">
        <v>1058</v>
      </c>
      <c r="D663" s="66" t="s">
        <v>1059</v>
      </c>
      <c r="E663" s="71">
        <v>0</v>
      </c>
      <c r="F663" s="71">
        <v>0</v>
      </c>
      <c r="G663" s="72">
        <v>0</v>
      </c>
      <c r="H663" s="72">
        <v>0</v>
      </c>
    </row>
    <row r="664" spans="2:8" ht="12">
      <c r="B664" s="64">
        <v>658</v>
      </c>
      <c r="C664" s="64" t="s">
        <v>1060</v>
      </c>
      <c r="D664" s="66" t="s">
        <v>1734</v>
      </c>
      <c r="E664" s="71">
        <v>0</v>
      </c>
      <c r="F664" s="71">
        <v>0</v>
      </c>
      <c r="G664" s="72">
        <v>0</v>
      </c>
      <c r="H664" s="72">
        <v>0</v>
      </c>
    </row>
    <row r="665" spans="2:8" ht="12">
      <c r="B665" s="64">
        <v>659</v>
      </c>
      <c r="C665" s="64" t="s">
        <v>2537</v>
      </c>
      <c r="D665" s="66" t="s">
        <v>2538</v>
      </c>
      <c r="E665" s="71">
        <v>0</v>
      </c>
      <c r="F665" s="71">
        <v>0</v>
      </c>
      <c r="G665" s="72">
        <v>0</v>
      </c>
      <c r="H665" s="72">
        <v>0</v>
      </c>
    </row>
    <row r="666" spans="2:8" ht="12">
      <c r="B666" s="64">
        <v>660</v>
      </c>
      <c r="C666" s="64" t="s">
        <v>1397</v>
      </c>
      <c r="D666" s="66" t="s">
        <v>1398</v>
      </c>
      <c r="E666" s="71">
        <v>0</v>
      </c>
      <c r="F666" s="71">
        <v>0</v>
      </c>
      <c r="G666" s="72">
        <v>0</v>
      </c>
      <c r="H666" s="72">
        <v>0</v>
      </c>
    </row>
    <row r="667" spans="2:8" ht="12">
      <c r="B667" s="64">
        <v>661</v>
      </c>
      <c r="C667" s="64" t="s">
        <v>1061</v>
      </c>
      <c r="D667" s="66" t="s">
        <v>2539</v>
      </c>
      <c r="E667" s="71">
        <v>0</v>
      </c>
      <c r="F667" s="71">
        <v>0</v>
      </c>
      <c r="G667" s="72">
        <v>0</v>
      </c>
      <c r="H667" s="72">
        <v>0</v>
      </c>
    </row>
    <row r="668" spans="2:8" ht="12">
      <c r="B668" s="64">
        <v>662</v>
      </c>
      <c r="C668" s="64" t="s">
        <v>2540</v>
      </c>
      <c r="D668" s="66" t="s">
        <v>1062</v>
      </c>
      <c r="E668" s="71">
        <v>0</v>
      </c>
      <c r="F668" s="71">
        <v>0</v>
      </c>
      <c r="G668" s="72">
        <v>0</v>
      </c>
      <c r="H668" s="72">
        <v>0</v>
      </c>
    </row>
    <row r="669" spans="2:8" ht="12">
      <c r="B669" s="64">
        <v>663</v>
      </c>
      <c r="C669" s="64" t="s">
        <v>1063</v>
      </c>
      <c r="D669" s="66" t="s">
        <v>1064</v>
      </c>
      <c r="E669" s="71">
        <v>0</v>
      </c>
      <c r="F669" s="71">
        <v>0</v>
      </c>
      <c r="G669" s="72">
        <v>0</v>
      </c>
      <c r="H669" s="72">
        <v>0</v>
      </c>
    </row>
    <row r="670" spans="2:8" ht="12">
      <c r="B670" s="64">
        <v>664</v>
      </c>
      <c r="C670" s="64" t="s">
        <v>1399</v>
      </c>
      <c r="D670" s="66" t="s">
        <v>2541</v>
      </c>
      <c r="E670" s="71">
        <v>0</v>
      </c>
      <c r="F670" s="71">
        <v>0</v>
      </c>
      <c r="G670" s="72">
        <v>0</v>
      </c>
      <c r="H670" s="72">
        <v>0</v>
      </c>
    </row>
    <row r="671" spans="2:8" ht="12">
      <c r="B671" s="64">
        <v>665</v>
      </c>
      <c r="C671" s="64" t="s">
        <v>1065</v>
      </c>
      <c r="D671" s="66" t="s">
        <v>1926</v>
      </c>
      <c r="E671" s="71">
        <v>0</v>
      </c>
      <c r="F671" s="71">
        <v>0</v>
      </c>
      <c r="G671" s="72">
        <v>0</v>
      </c>
      <c r="H671" s="72">
        <v>0</v>
      </c>
    </row>
    <row r="672" spans="2:8" ht="12">
      <c r="B672" s="64">
        <v>666</v>
      </c>
      <c r="C672" s="64" t="s">
        <v>1066</v>
      </c>
      <c r="D672" s="66" t="s">
        <v>1680</v>
      </c>
      <c r="E672" s="71">
        <v>0</v>
      </c>
      <c r="F672" s="71">
        <v>0</v>
      </c>
      <c r="G672" s="72">
        <v>0</v>
      </c>
      <c r="H672" s="72">
        <v>0</v>
      </c>
    </row>
    <row r="673" spans="2:8" ht="12">
      <c r="B673" s="64">
        <v>667</v>
      </c>
      <c r="C673" s="64" t="s">
        <v>2542</v>
      </c>
      <c r="D673" s="66" t="s">
        <v>2543</v>
      </c>
      <c r="E673" s="71">
        <v>0</v>
      </c>
      <c r="F673" s="71">
        <v>0</v>
      </c>
      <c r="G673" s="72">
        <v>0</v>
      </c>
      <c r="H673" s="72">
        <v>0</v>
      </c>
    </row>
    <row r="674" spans="2:8" ht="12">
      <c r="B674" s="64">
        <v>668</v>
      </c>
      <c r="C674" s="64" t="s">
        <v>1067</v>
      </c>
      <c r="D674" s="66" t="s">
        <v>1068</v>
      </c>
      <c r="E674" s="71">
        <v>0</v>
      </c>
      <c r="F674" s="71">
        <v>0</v>
      </c>
      <c r="G674" s="72">
        <v>0</v>
      </c>
      <c r="H674" s="72">
        <v>0</v>
      </c>
    </row>
    <row r="675" spans="2:8" ht="12">
      <c r="B675" s="64">
        <v>669</v>
      </c>
      <c r="C675" s="64" t="s">
        <v>1069</v>
      </c>
      <c r="D675" s="66" t="s">
        <v>1872</v>
      </c>
      <c r="E675" s="71">
        <v>0</v>
      </c>
      <c r="F675" s="71">
        <v>0</v>
      </c>
      <c r="G675" s="72">
        <v>0</v>
      </c>
      <c r="H675" s="72">
        <v>0</v>
      </c>
    </row>
    <row r="676" spans="2:8" ht="12">
      <c r="B676" s="64">
        <v>670</v>
      </c>
      <c r="C676" s="64" t="s">
        <v>1070</v>
      </c>
      <c r="D676" s="66" t="s">
        <v>2544</v>
      </c>
      <c r="E676" s="71">
        <v>0</v>
      </c>
      <c r="F676" s="71">
        <v>0</v>
      </c>
      <c r="G676" s="72">
        <v>0</v>
      </c>
      <c r="H676" s="72">
        <v>0</v>
      </c>
    </row>
    <row r="677" spans="2:8" ht="12">
      <c r="B677" s="64">
        <v>671</v>
      </c>
      <c r="C677" s="64" t="s">
        <v>1854</v>
      </c>
      <c r="D677" s="66" t="s">
        <v>1400</v>
      </c>
      <c r="E677" s="71">
        <v>0</v>
      </c>
      <c r="F677" s="71">
        <v>0</v>
      </c>
      <c r="G677" s="72">
        <v>0</v>
      </c>
      <c r="H677" s="72">
        <v>0</v>
      </c>
    </row>
    <row r="678" spans="2:8" ht="12">
      <c r="B678" s="64">
        <v>672</v>
      </c>
      <c r="C678" s="64" t="s">
        <v>1071</v>
      </c>
      <c r="D678" s="66" t="s">
        <v>2545</v>
      </c>
      <c r="E678" s="71">
        <v>0</v>
      </c>
      <c r="F678" s="71">
        <v>0</v>
      </c>
      <c r="G678" s="72">
        <v>0</v>
      </c>
      <c r="H678" s="72">
        <v>0</v>
      </c>
    </row>
    <row r="679" spans="2:8" ht="12">
      <c r="B679" s="64">
        <v>673</v>
      </c>
      <c r="C679" s="64" t="s">
        <v>2546</v>
      </c>
      <c r="D679" s="66" t="s">
        <v>1401</v>
      </c>
      <c r="E679" s="71">
        <v>1127400</v>
      </c>
      <c r="F679" s="71">
        <v>1127400</v>
      </c>
      <c r="G679" s="72">
        <v>563700</v>
      </c>
      <c r="H679" s="72">
        <v>563700</v>
      </c>
    </row>
    <row r="680" spans="2:8" ht="12">
      <c r="B680" s="64">
        <v>674</v>
      </c>
      <c r="C680" s="64" t="s">
        <v>1072</v>
      </c>
      <c r="D680" s="66" t="s">
        <v>1735</v>
      </c>
      <c r="E680" s="71">
        <v>0</v>
      </c>
      <c r="F680" s="71">
        <v>0</v>
      </c>
      <c r="G680" s="72">
        <v>0</v>
      </c>
      <c r="H680" s="72">
        <v>0</v>
      </c>
    </row>
    <row r="681" spans="2:8" ht="12">
      <c r="B681" s="64">
        <v>675</v>
      </c>
      <c r="C681" s="64" t="s">
        <v>1736</v>
      </c>
      <c r="D681" s="66" t="s">
        <v>2547</v>
      </c>
      <c r="E681" s="71">
        <v>0</v>
      </c>
      <c r="F681" s="71">
        <v>0</v>
      </c>
      <c r="G681" s="72">
        <v>0</v>
      </c>
      <c r="H681" s="72">
        <v>0</v>
      </c>
    </row>
    <row r="682" spans="2:8" ht="12">
      <c r="B682" s="64">
        <v>676</v>
      </c>
      <c r="C682" s="64" t="s">
        <v>2548</v>
      </c>
      <c r="D682" s="66" t="s">
        <v>2549</v>
      </c>
      <c r="E682" s="71">
        <v>0</v>
      </c>
      <c r="F682" s="71">
        <v>0</v>
      </c>
      <c r="G682" s="72">
        <v>0</v>
      </c>
      <c r="H682" s="72">
        <v>0</v>
      </c>
    </row>
    <row r="683" spans="2:8" ht="12">
      <c r="B683" s="64">
        <v>677</v>
      </c>
      <c r="C683" s="64" t="s">
        <v>1073</v>
      </c>
      <c r="D683" s="66" t="s">
        <v>1074</v>
      </c>
      <c r="E683" s="71">
        <v>0</v>
      </c>
      <c r="F683" s="71">
        <v>0</v>
      </c>
      <c r="G683" s="72">
        <v>0</v>
      </c>
      <c r="H683" s="72">
        <v>0</v>
      </c>
    </row>
    <row r="684" spans="2:8" ht="12">
      <c r="B684" s="64">
        <v>678</v>
      </c>
      <c r="C684" s="64" t="s">
        <v>2550</v>
      </c>
      <c r="D684" s="66" t="s">
        <v>1402</v>
      </c>
      <c r="E684" s="71">
        <v>0</v>
      </c>
      <c r="F684" s="71">
        <v>0</v>
      </c>
      <c r="G684" s="72">
        <v>0</v>
      </c>
      <c r="H684" s="72">
        <v>0</v>
      </c>
    </row>
    <row r="685" spans="2:8" ht="12">
      <c r="B685" s="64">
        <v>679</v>
      </c>
      <c r="C685" s="64" t="s">
        <v>2551</v>
      </c>
      <c r="D685" s="66" t="s">
        <v>1075</v>
      </c>
      <c r="E685" s="71">
        <v>0</v>
      </c>
      <c r="F685" s="71">
        <v>0</v>
      </c>
      <c r="G685" s="72">
        <v>0</v>
      </c>
      <c r="H685" s="72">
        <v>0</v>
      </c>
    </row>
    <row r="686" spans="2:8" ht="12">
      <c r="B686" s="64">
        <v>680</v>
      </c>
      <c r="C686" s="64" t="s">
        <v>2552</v>
      </c>
      <c r="D686" s="66" t="s">
        <v>1076</v>
      </c>
      <c r="E686" s="71">
        <v>0</v>
      </c>
      <c r="F686" s="71">
        <v>0</v>
      </c>
      <c r="G686" s="72">
        <v>0</v>
      </c>
      <c r="H686" s="72">
        <v>0</v>
      </c>
    </row>
    <row r="687" spans="2:8" ht="12">
      <c r="B687" s="64">
        <v>681</v>
      </c>
      <c r="C687" s="64" t="s">
        <v>1077</v>
      </c>
      <c r="D687" s="66" t="s">
        <v>2553</v>
      </c>
      <c r="E687" s="71">
        <v>0</v>
      </c>
      <c r="F687" s="71">
        <v>0</v>
      </c>
      <c r="G687" s="72">
        <v>0</v>
      </c>
      <c r="H687" s="72">
        <v>0</v>
      </c>
    </row>
    <row r="688" spans="2:8" ht="12">
      <c r="B688" s="64">
        <v>682</v>
      </c>
      <c r="C688" s="64" t="s">
        <v>2554</v>
      </c>
      <c r="D688" s="66" t="s">
        <v>1078</v>
      </c>
      <c r="E688" s="71">
        <v>0</v>
      </c>
      <c r="F688" s="71">
        <v>0</v>
      </c>
      <c r="G688" s="72">
        <v>0</v>
      </c>
      <c r="H688" s="72">
        <v>0</v>
      </c>
    </row>
    <row r="689" spans="2:8" ht="12">
      <c r="B689" s="64">
        <v>683</v>
      </c>
      <c r="C689" s="64" t="s">
        <v>1403</v>
      </c>
      <c r="D689" s="66" t="s">
        <v>2555</v>
      </c>
      <c r="E689" s="71">
        <v>0</v>
      </c>
      <c r="F689" s="71">
        <v>0</v>
      </c>
      <c r="G689" s="72">
        <v>0</v>
      </c>
      <c r="H689" s="72">
        <v>0</v>
      </c>
    </row>
    <row r="690" spans="2:8" ht="12">
      <c r="B690" s="64">
        <v>684</v>
      </c>
      <c r="C690" s="64" t="s">
        <v>2556</v>
      </c>
      <c r="D690" s="66" t="s">
        <v>1945</v>
      </c>
      <c r="E690" s="71">
        <v>0</v>
      </c>
      <c r="F690" s="71">
        <v>0</v>
      </c>
      <c r="G690" s="72">
        <v>0</v>
      </c>
      <c r="H690" s="72">
        <v>0</v>
      </c>
    </row>
    <row r="691" spans="2:8" ht="12">
      <c r="B691" s="64">
        <v>685</v>
      </c>
      <c r="C691" s="64" t="s">
        <v>1737</v>
      </c>
      <c r="D691" s="66" t="s">
        <v>2557</v>
      </c>
      <c r="E691" s="71">
        <v>0</v>
      </c>
      <c r="F691" s="71">
        <v>0</v>
      </c>
      <c r="G691" s="72">
        <v>0</v>
      </c>
      <c r="H691" s="72">
        <v>0</v>
      </c>
    </row>
    <row r="692" spans="2:8" ht="12">
      <c r="B692" s="64">
        <v>686</v>
      </c>
      <c r="C692" s="64" t="s">
        <v>2558</v>
      </c>
      <c r="D692" s="66" t="s">
        <v>1738</v>
      </c>
      <c r="E692" s="71">
        <v>0</v>
      </c>
      <c r="F692" s="71">
        <v>0</v>
      </c>
      <c r="G692" s="72">
        <v>0</v>
      </c>
      <c r="H692" s="72">
        <v>0</v>
      </c>
    </row>
    <row r="693" spans="2:8" ht="12">
      <c r="B693" s="64">
        <v>687</v>
      </c>
      <c r="C693" s="64" t="s">
        <v>2559</v>
      </c>
      <c r="D693" s="66" t="s">
        <v>1891</v>
      </c>
      <c r="E693" s="71">
        <v>0</v>
      </c>
      <c r="F693" s="71">
        <v>0</v>
      </c>
      <c r="G693" s="72">
        <v>0</v>
      </c>
      <c r="H693" s="72">
        <v>0</v>
      </c>
    </row>
    <row r="694" spans="2:8" ht="12">
      <c r="B694" s="64">
        <v>688</v>
      </c>
      <c r="C694" s="64" t="s">
        <v>2560</v>
      </c>
      <c r="D694" s="66" t="s">
        <v>1079</v>
      </c>
      <c r="E694" s="71">
        <v>0</v>
      </c>
      <c r="F694" s="71">
        <v>0</v>
      </c>
      <c r="G694" s="72">
        <v>0</v>
      </c>
      <c r="H694" s="72">
        <v>0</v>
      </c>
    </row>
    <row r="695" spans="2:8" ht="12">
      <c r="B695" s="64">
        <v>689</v>
      </c>
      <c r="C695" s="64" t="s">
        <v>1404</v>
      </c>
      <c r="D695" s="66" t="s">
        <v>2561</v>
      </c>
      <c r="E695" s="71">
        <v>0</v>
      </c>
      <c r="F695" s="71">
        <v>0</v>
      </c>
      <c r="G695" s="72">
        <v>0</v>
      </c>
      <c r="H695" s="72">
        <v>0</v>
      </c>
    </row>
    <row r="696" spans="2:8" ht="12">
      <c r="B696" s="64">
        <v>690</v>
      </c>
      <c r="C696" s="64" t="s">
        <v>1080</v>
      </c>
      <c r="D696" s="66" t="s">
        <v>2562</v>
      </c>
      <c r="E696" s="71">
        <v>0</v>
      </c>
      <c r="F696" s="71">
        <v>0</v>
      </c>
      <c r="G696" s="72">
        <v>0</v>
      </c>
      <c r="H696" s="72">
        <v>0</v>
      </c>
    </row>
    <row r="697" spans="2:8" ht="12">
      <c r="B697" s="64">
        <v>691</v>
      </c>
      <c r="C697" s="64" t="s">
        <v>2563</v>
      </c>
      <c r="D697" s="66" t="s">
        <v>1081</v>
      </c>
      <c r="E697" s="71">
        <v>0</v>
      </c>
      <c r="F697" s="71">
        <v>0</v>
      </c>
      <c r="G697" s="72">
        <v>0</v>
      </c>
      <c r="H697" s="72">
        <v>0</v>
      </c>
    </row>
    <row r="698" spans="2:8" ht="12">
      <c r="B698" s="64">
        <v>692</v>
      </c>
      <c r="C698" s="64" t="s">
        <v>2564</v>
      </c>
      <c r="D698" s="66" t="s">
        <v>1082</v>
      </c>
      <c r="E698" s="71">
        <v>0</v>
      </c>
      <c r="F698" s="71">
        <v>0</v>
      </c>
      <c r="G698" s="72">
        <v>0</v>
      </c>
      <c r="H698" s="72">
        <v>0</v>
      </c>
    </row>
    <row r="699" spans="2:8" ht="12">
      <c r="B699" s="64">
        <v>693</v>
      </c>
      <c r="C699" s="64" t="s">
        <v>1083</v>
      </c>
      <c r="D699" s="66" t="s">
        <v>1084</v>
      </c>
      <c r="E699" s="71">
        <v>0</v>
      </c>
      <c r="F699" s="71">
        <v>0</v>
      </c>
      <c r="G699" s="72">
        <v>0</v>
      </c>
      <c r="H699" s="72">
        <v>0</v>
      </c>
    </row>
    <row r="700" spans="2:8" ht="12">
      <c r="B700" s="64">
        <v>694</v>
      </c>
      <c r="C700" s="64" t="s">
        <v>2565</v>
      </c>
      <c r="D700" s="66" t="s">
        <v>2566</v>
      </c>
      <c r="E700" s="71">
        <v>0</v>
      </c>
      <c r="F700" s="71">
        <v>0</v>
      </c>
      <c r="G700" s="72">
        <v>0</v>
      </c>
      <c r="H700" s="72">
        <v>0</v>
      </c>
    </row>
    <row r="701" spans="2:8" ht="12">
      <c r="B701" s="64">
        <v>695</v>
      </c>
      <c r="C701" s="64" t="s">
        <v>1085</v>
      </c>
      <c r="D701" s="66" t="s">
        <v>2567</v>
      </c>
      <c r="E701" s="71">
        <v>0</v>
      </c>
      <c r="F701" s="71">
        <v>0</v>
      </c>
      <c r="G701" s="72">
        <v>0</v>
      </c>
      <c r="H701" s="72">
        <v>0</v>
      </c>
    </row>
    <row r="702" spans="2:8" ht="12">
      <c r="B702" s="64">
        <v>696</v>
      </c>
      <c r="C702" s="64" t="s">
        <v>2568</v>
      </c>
      <c r="D702" s="66" t="s">
        <v>1739</v>
      </c>
      <c r="E702" s="71">
        <v>0</v>
      </c>
      <c r="F702" s="71">
        <v>0</v>
      </c>
      <c r="G702" s="72">
        <v>0</v>
      </c>
      <c r="H702" s="72">
        <v>0</v>
      </c>
    </row>
    <row r="703" spans="2:8" ht="12">
      <c r="B703" s="64">
        <v>697</v>
      </c>
      <c r="C703" s="64" t="s">
        <v>1086</v>
      </c>
      <c r="D703" s="66" t="s">
        <v>2569</v>
      </c>
      <c r="E703" s="71">
        <v>0</v>
      </c>
      <c r="F703" s="71">
        <v>0</v>
      </c>
      <c r="G703" s="72">
        <v>0</v>
      </c>
      <c r="H703" s="72">
        <v>0</v>
      </c>
    </row>
    <row r="704" spans="2:8" ht="12">
      <c r="B704" s="64">
        <v>698</v>
      </c>
      <c r="C704" s="64" t="s">
        <v>1087</v>
      </c>
      <c r="D704" s="66" t="s">
        <v>1088</v>
      </c>
      <c r="E704" s="71">
        <v>0</v>
      </c>
      <c r="F704" s="71">
        <v>0</v>
      </c>
      <c r="G704" s="72">
        <v>0</v>
      </c>
      <c r="H704" s="72">
        <v>0</v>
      </c>
    </row>
    <row r="705" spans="2:8" ht="12">
      <c r="B705" s="64">
        <v>699</v>
      </c>
      <c r="C705" s="64" t="s">
        <v>1873</v>
      </c>
      <c r="D705" s="66" t="s">
        <v>1788</v>
      </c>
      <c r="E705" s="71">
        <v>0</v>
      </c>
      <c r="F705" s="71">
        <v>0</v>
      </c>
      <c r="G705" s="72">
        <v>0</v>
      </c>
      <c r="H705" s="72">
        <v>0</v>
      </c>
    </row>
    <row r="706" spans="2:8" ht="12">
      <c r="B706" s="64">
        <v>700</v>
      </c>
      <c r="C706" s="64" t="s">
        <v>1089</v>
      </c>
      <c r="D706" s="66" t="s">
        <v>1090</v>
      </c>
      <c r="E706" s="71">
        <v>0</v>
      </c>
      <c r="F706" s="71">
        <v>0</v>
      </c>
      <c r="G706" s="72">
        <v>0</v>
      </c>
      <c r="H706" s="72">
        <v>0</v>
      </c>
    </row>
    <row r="707" spans="2:8" ht="12">
      <c r="B707" s="64">
        <v>701</v>
      </c>
      <c r="C707" s="64" t="s">
        <v>1740</v>
      </c>
      <c r="D707" s="66" t="s">
        <v>2570</v>
      </c>
      <c r="E707" s="71">
        <v>0</v>
      </c>
      <c r="F707" s="71">
        <v>0</v>
      </c>
      <c r="G707" s="72">
        <v>0</v>
      </c>
      <c r="H707" s="72">
        <v>0</v>
      </c>
    </row>
    <row r="708" spans="2:8" ht="12">
      <c r="B708" s="64">
        <v>702</v>
      </c>
      <c r="C708" s="64" t="s">
        <v>1789</v>
      </c>
      <c r="D708" s="66" t="s">
        <v>1091</v>
      </c>
      <c r="E708" s="71">
        <v>0</v>
      </c>
      <c r="F708" s="71">
        <v>0</v>
      </c>
      <c r="G708" s="72">
        <v>0</v>
      </c>
      <c r="H708" s="72">
        <v>0</v>
      </c>
    </row>
    <row r="709" spans="2:8" ht="12">
      <c r="B709" s="64">
        <v>703</v>
      </c>
      <c r="C709" s="64" t="s">
        <v>2571</v>
      </c>
      <c r="D709" s="66" t="s">
        <v>1946</v>
      </c>
      <c r="E709" s="71">
        <v>0</v>
      </c>
      <c r="F709" s="71">
        <v>0</v>
      </c>
      <c r="G709" s="72">
        <v>0</v>
      </c>
      <c r="H709" s="72">
        <v>0</v>
      </c>
    </row>
    <row r="710" spans="2:8" ht="12">
      <c r="B710" s="64">
        <v>704</v>
      </c>
      <c r="C710" s="64" t="s">
        <v>1092</v>
      </c>
      <c r="D710" s="66" t="s">
        <v>1093</v>
      </c>
      <c r="E710" s="71">
        <v>0</v>
      </c>
      <c r="F710" s="71">
        <v>0</v>
      </c>
      <c r="G710" s="72">
        <v>0</v>
      </c>
      <c r="H710" s="72">
        <v>0</v>
      </c>
    </row>
    <row r="711" spans="2:8" ht="12">
      <c r="B711" s="64">
        <v>705</v>
      </c>
      <c r="C711" s="64" t="s">
        <v>1094</v>
      </c>
      <c r="D711" s="66" t="s">
        <v>2572</v>
      </c>
      <c r="E711" s="71">
        <v>0</v>
      </c>
      <c r="F711" s="71">
        <v>0</v>
      </c>
      <c r="G711" s="72">
        <v>0</v>
      </c>
      <c r="H711" s="72">
        <v>0</v>
      </c>
    </row>
    <row r="712" spans="2:8" ht="12">
      <c r="B712" s="64">
        <v>706</v>
      </c>
      <c r="C712" s="64" t="s">
        <v>1947</v>
      </c>
      <c r="D712" s="66" t="s">
        <v>2573</v>
      </c>
      <c r="E712" s="71">
        <v>0</v>
      </c>
      <c r="F712" s="71">
        <v>0</v>
      </c>
      <c r="G712" s="72">
        <v>0</v>
      </c>
      <c r="H712" s="72">
        <v>0</v>
      </c>
    </row>
    <row r="713" spans="2:8" ht="12">
      <c r="B713" s="64">
        <v>707</v>
      </c>
      <c r="C713" s="64" t="s">
        <v>2574</v>
      </c>
      <c r="D713" s="66" t="s">
        <v>2575</v>
      </c>
      <c r="E713" s="71">
        <v>0</v>
      </c>
      <c r="F713" s="71">
        <v>0</v>
      </c>
      <c r="G713" s="72">
        <v>0</v>
      </c>
      <c r="H713" s="72">
        <v>0</v>
      </c>
    </row>
    <row r="714" spans="2:8" ht="12">
      <c r="B714" s="64">
        <v>708</v>
      </c>
      <c r="C714" s="64" t="s">
        <v>1935</v>
      </c>
      <c r="D714" s="66" t="s">
        <v>2576</v>
      </c>
      <c r="E714" s="71">
        <v>0</v>
      </c>
      <c r="F714" s="71">
        <v>0</v>
      </c>
      <c r="G714" s="72">
        <v>0</v>
      </c>
      <c r="H714" s="72">
        <v>0</v>
      </c>
    </row>
    <row r="715" spans="2:8" ht="12">
      <c r="B715" s="64">
        <v>709</v>
      </c>
      <c r="C715" s="64" t="s">
        <v>1095</v>
      </c>
      <c r="D715" s="66" t="s">
        <v>1741</v>
      </c>
      <c r="E715" s="71">
        <v>0</v>
      </c>
      <c r="F715" s="71">
        <v>0</v>
      </c>
      <c r="G715" s="72">
        <v>0</v>
      </c>
      <c r="H715" s="72">
        <v>0</v>
      </c>
    </row>
    <row r="716" spans="2:8" ht="12">
      <c r="B716" s="64">
        <v>710</v>
      </c>
      <c r="C716" s="64" t="s">
        <v>1096</v>
      </c>
      <c r="D716" s="66" t="s">
        <v>1097</v>
      </c>
      <c r="E716" s="71">
        <v>0</v>
      </c>
      <c r="F716" s="71">
        <v>0</v>
      </c>
      <c r="G716" s="72">
        <v>0</v>
      </c>
      <c r="H716" s="72">
        <v>0</v>
      </c>
    </row>
    <row r="717" spans="2:8" ht="12">
      <c r="B717" s="64">
        <v>711</v>
      </c>
      <c r="C717" s="64" t="s">
        <v>2577</v>
      </c>
      <c r="D717" s="66" t="s">
        <v>2578</v>
      </c>
      <c r="E717" s="71">
        <v>0</v>
      </c>
      <c r="F717" s="71">
        <v>0</v>
      </c>
      <c r="G717" s="72">
        <v>0</v>
      </c>
      <c r="H717" s="72">
        <v>0</v>
      </c>
    </row>
    <row r="718" spans="2:8" ht="12">
      <c r="B718" s="64">
        <v>712</v>
      </c>
      <c r="C718" s="64" t="s">
        <v>1098</v>
      </c>
      <c r="D718" s="66" t="s">
        <v>1099</v>
      </c>
      <c r="E718" s="71">
        <v>0</v>
      </c>
      <c r="F718" s="71">
        <v>0</v>
      </c>
      <c r="G718" s="72">
        <v>0</v>
      </c>
      <c r="H718" s="72">
        <v>0</v>
      </c>
    </row>
    <row r="719" spans="2:8" ht="12">
      <c r="B719" s="64">
        <v>713</v>
      </c>
      <c r="C719" s="64" t="s">
        <v>1874</v>
      </c>
      <c r="D719" s="66" t="s">
        <v>1100</v>
      </c>
      <c r="E719" s="71">
        <v>0</v>
      </c>
      <c r="F719" s="71">
        <v>0</v>
      </c>
      <c r="G719" s="72">
        <v>0</v>
      </c>
      <c r="H719" s="72">
        <v>0</v>
      </c>
    </row>
    <row r="720" spans="2:8" ht="12">
      <c r="B720" s="64">
        <v>714</v>
      </c>
      <c r="C720" s="64" t="s">
        <v>2579</v>
      </c>
      <c r="D720" s="66" t="s">
        <v>2580</v>
      </c>
      <c r="E720" s="71">
        <v>0</v>
      </c>
      <c r="F720" s="71">
        <v>0</v>
      </c>
      <c r="G720" s="72">
        <v>0</v>
      </c>
      <c r="H720" s="72">
        <v>0</v>
      </c>
    </row>
    <row r="721" spans="2:8" ht="12">
      <c r="B721" s="64">
        <v>715</v>
      </c>
      <c r="C721" s="64" t="s">
        <v>2581</v>
      </c>
      <c r="D721" s="66" t="s">
        <v>1101</v>
      </c>
      <c r="E721" s="71">
        <v>0</v>
      </c>
      <c r="F721" s="71">
        <v>0</v>
      </c>
      <c r="G721" s="72">
        <v>0</v>
      </c>
      <c r="H721" s="72">
        <v>0</v>
      </c>
    </row>
    <row r="722" spans="2:8" ht="12">
      <c r="B722" s="64">
        <v>716</v>
      </c>
      <c r="C722" s="64" t="s">
        <v>2582</v>
      </c>
      <c r="D722" s="66" t="s">
        <v>2583</v>
      </c>
      <c r="E722" s="71">
        <v>0</v>
      </c>
      <c r="F722" s="71">
        <v>0</v>
      </c>
      <c r="G722" s="72">
        <v>0</v>
      </c>
      <c r="H722" s="72">
        <v>0</v>
      </c>
    </row>
    <row r="723" spans="2:8" ht="12">
      <c r="B723" s="64">
        <v>717</v>
      </c>
      <c r="C723" s="64" t="s">
        <v>1102</v>
      </c>
      <c r="D723" s="66" t="s">
        <v>2584</v>
      </c>
      <c r="E723" s="71">
        <v>0</v>
      </c>
      <c r="F723" s="71">
        <v>0</v>
      </c>
      <c r="G723" s="72">
        <v>0</v>
      </c>
      <c r="H723" s="72">
        <v>0</v>
      </c>
    </row>
    <row r="724" spans="2:8" ht="12">
      <c r="B724" s="64">
        <v>718</v>
      </c>
      <c r="C724" s="64" t="s">
        <v>1681</v>
      </c>
      <c r="D724" s="66" t="s">
        <v>1103</v>
      </c>
      <c r="E724" s="71">
        <v>0</v>
      </c>
      <c r="F724" s="71">
        <v>0</v>
      </c>
      <c r="G724" s="72">
        <v>0</v>
      </c>
      <c r="H724" s="72">
        <v>0</v>
      </c>
    </row>
    <row r="725" spans="2:8" ht="12">
      <c r="B725" s="64">
        <v>719</v>
      </c>
      <c r="C725" s="64" t="s">
        <v>2585</v>
      </c>
      <c r="D725" s="66" t="s">
        <v>1915</v>
      </c>
      <c r="E725" s="71">
        <v>0</v>
      </c>
      <c r="F725" s="71">
        <v>0</v>
      </c>
      <c r="G725" s="72">
        <v>0</v>
      </c>
      <c r="H725" s="72">
        <v>0</v>
      </c>
    </row>
    <row r="726" spans="2:8" ht="12">
      <c r="B726" s="64">
        <v>720</v>
      </c>
      <c r="C726" s="64" t="s">
        <v>1104</v>
      </c>
      <c r="D726" s="66" t="s">
        <v>2586</v>
      </c>
      <c r="E726" s="71">
        <v>0</v>
      </c>
      <c r="F726" s="71">
        <v>0</v>
      </c>
      <c r="G726" s="72">
        <v>0</v>
      </c>
      <c r="H726" s="72">
        <v>0</v>
      </c>
    </row>
    <row r="727" spans="2:8" ht="12">
      <c r="B727" s="64">
        <v>721</v>
      </c>
      <c r="C727" s="64" t="s">
        <v>2587</v>
      </c>
      <c r="D727" s="66" t="s">
        <v>2588</v>
      </c>
      <c r="E727" s="71">
        <v>0</v>
      </c>
      <c r="F727" s="71">
        <v>0</v>
      </c>
      <c r="G727" s="72">
        <v>0</v>
      </c>
      <c r="H727" s="72">
        <v>0</v>
      </c>
    </row>
    <row r="728" spans="2:8" ht="12">
      <c r="B728" s="64">
        <v>722</v>
      </c>
      <c r="C728" s="64" t="s">
        <v>2589</v>
      </c>
      <c r="D728" s="66" t="s">
        <v>1105</v>
      </c>
      <c r="E728" s="71">
        <v>0</v>
      </c>
      <c r="F728" s="71">
        <v>0</v>
      </c>
      <c r="G728" s="72">
        <v>0</v>
      </c>
      <c r="H728" s="72">
        <v>0</v>
      </c>
    </row>
    <row r="729" spans="2:8" ht="12">
      <c r="B729" s="64">
        <v>723</v>
      </c>
      <c r="C729" s="64" t="s">
        <v>1790</v>
      </c>
      <c r="D729" s="66" t="s">
        <v>1106</v>
      </c>
      <c r="E729" s="71">
        <v>0</v>
      </c>
      <c r="F729" s="71">
        <v>0</v>
      </c>
      <c r="G729" s="72">
        <v>0</v>
      </c>
      <c r="H729" s="72">
        <v>0</v>
      </c>
    </row>
    <row r="730" spans="2:8" ht="12">
      <c r="B730" s="64">
        <v>724</v>
      </c>
      <c r="C730" s="64" t="s">
        <v>2590</v>
      </c>
      <c r="D730" s="66" t="s">
        <v>2591</v>
      </c>
      <c r="E730" s="71">
        <v>0</v>
      </c>
      <c r="F730" s="71">
        <v>0</v>
      </c>
      <c r="G730" s="72">
        <v>0</v>
      </c>
      <c r="H730" s="72">
        <v>0</v>
      </c>
    </row>
    <row r="731" spans="2:8" ht="12">
      <c r="B731" s="64">
        <v>725</v>
      </c>
      <c r="C731" s="64" t="s">
        <v>2592</v>
      </c>
      <c r="D731" s="66" t="s">
        <v>2593</v>
      </c>
      <c r="E731" s="71">
        <v>0</v>
      </c>
      <c r="F731" s="71">
        <v>0</v>
      </c>
      <c r="G731" s="72">
        <v>0</v>
      </c>
      <c r="H731" s="72">
        <v>0</v>
      </c>
    </row>
    <row r="732" spans="2:8" ht="12">
      <c r="B732" s="64">
        <v>726</v>
      </c>
      <c r="C732" s="64" t="s">
        <v>2594</v>
      </c>
      <c r="D732" s="66" t="s">
        <v>2595</v>
      </c>
      <c r="E732" s="71">
        <v>0</v>
      </c>
      <c r="F732" s="71">
        <v>0</v>
      </c>
      <c r="G732" s="72">
        <v>0</v>
      </c>
      <c r="H732" s="72">
        <v>0</v>
      </c>
    </row>
    <row r="733" spans="2:8" ht="12">
      <c r="B733" s="64">
        <v>727</v>
      </c>
      <c r="C733" s="64" t="s">
        <v>1107</v>
      </c>
      <c r="D733" s="66" t="s">
        <v>2596</v>
      </c>
      <c r="E733" s="71">
        <v>0</v>
      </c>
      <c r="F733" s="71">
        <v>0</v>
      </c>
      <c r="G733" s="72">
        <v>0</v>
      </c>
      <c r="H733" s="72">
        <v>0</v>
      </c>
    </row>
    <row r="734" spans="2:8" ht="12">
      <c r="B734" s="64">
        <v>728</v>
      </c>
      <c r="C734" s="64" t="s">
        <v>2597</v>
      </c>
      <c r="D734" s="66" t="s">
        <v>2598</v>
      </c>
      <c r="E734" s="71">
        <v>0</v>
      </c>
      <c r="F734" s="71">
        <v>0</v>
      </c>
      <c r="G734" s="72">
        <v>0</v>
      </c>
      <c r="H734" s="72">
        <v>0</v>
      </c>
    </row>
    <row r="735" spans="2:8" ht="12">
      <c r="B735" s="64">
        <v>729</v>
      </c>
      <c r="C735" s="64" t="s">
        <v>1892</v>
      </c>
      <c r="D735" s="66" t="s">
        <v>1108</v>
      </c>
      <c r="E735" s="71">
        <v>0</v>
      </c>
      <c r="F735" s="71">
        <v>0</v>
      </c>
      <c r="G735" s="72">
        <v>0</v>
      </c>
      <c r="H735" s="72">
        <v>0</v>
      </c>
    </row>
    <row r="736" spans="2:8" ht="12">
      <c r="B736" s="64">
        <v>730</v>
      </c>
      <c r="C736" s="64" t="s">
        <v>1109</v>
      </c>
      <c r="D736" s="66" t="s">
        <v>2599</v>
      </c>
      <c r="E736" s="71">
        <v>0</v>
      </c>
      <c r="F736" s="71">
        <v>0</v>
      </c>
      <c r="G736" s="72">
        <v>0</v>
      </c>
      <c r="H736" s="72">
        <v>0</v>
      </c>
    </row>
    <row r="737" spans="2:8" ht="12">
      <c r="B737" s="64">
        <v>731</v>
      </c>
      <c r="C737" s="64" t="s">
        <v>1829</v>
      </c>
      <c r="D737" s="66" t="s">
        <v>1855</v>
      </c>
      <c r="E737" s="71">
        <v>0</v>
      </c>
      <c r="F737" s="71">
        <v>0</v>
      </c>
      <c r="G737" s="72">
        <v>0</v>
      </c>
      <c r="H737" s="72">
        <v>0</v>
      </c>
    </row>
    <row r="738" spans="2:8" ht="12">
      <c r="B738" s="64">
        <v>732</v>
      </c>
      <c r="C738" s="64" t="s">
        <v>1405</v>
      </c>
      <c r="D738" s="66" t="s">
        <v>2600</v>
      </c>
      <c r="E738" s="71">
        <v>0</v>
      </c>
      <c r="F738" s="71">
        <v>0</v>
      </c>
      <c r="G738" s="72">
        <v>0</v>
      </c>
      <c r="H738" s="72">
        <v>0</v>
      </c>
    </row>
    <row r="739" spans="2:8" ht="12">
      <c r="B739" s="64">
        <v>733</v>
      </c>
      <c r="C739" s="64" t="s">
        <v>2601</v>
      </c>
      <c r="D739" s="66" t="s">
        <v>2602</v>
      </c>
      <c r="E739" s="71">
        <v>0</v>
      </c>
      <c r="F739" s="71">
        <v>0</v>
      </c>
      <c r="G739" s="72">
        <v>0</v>
      </c>
      <c r="H739" s="72">
        <v>0</v>
      </c>
    </row>
    <row r="740" spans="2:8" ht="36">
      <c r="B740" s="64">
        <v>734</v>
      </c>
      <c r="C740" s="64" t="s">
        <v>1110</v>
      </c>
      <c r="D740" s="73" t="s">
        <v>2603</v>
      </c>
      <c r="E740" s="71">
        <v>0</v>
      </c>
      <c r="F740" s="71">
        <v>0</v>
      </c>
      <c r="G740" s="72">
        <v>0</v>
      </c>
      <c r="H740" s="72">
        <v>0</v>
      </c>
    </row>
    <row r="741" spans="2:8" ht="12">
      <c r="B741" s="64">
        <v>735</v>
      </c>
      <c r="C741" s="64" t="s">
        <v>2604</v>
      </c>
      <c r="D741" s="66" t="s">
        <v>1593</v>
      </c>
      <c r="E741" s="71">
        <v>0</v>
      </c>
      <c r="F741" s="71">
        <v>0</v>
      </c>
      <c r="G741" s="72">
        <v>0</v>
      </c>
      <c r="H741" s="72">
        <v>0</v>
      </c>
    </row>
    <row r="742" spans="2:8" ht="12">
      <c r="B742" s="64">
        <v>736</v>
      </c>
      <c r="C742" s="64" t="s">
        <v>1111</v>
      </c>
      <c r="D742" s="66" t="s">
        <v>2605</v>
      </c>
      <c r="E742" s="71">
        <v>0</v>
      </c>
      <c r="F742" s="71">
        <v>0</v>
      </c>
      <c r="G742" s="72">
        <v>0</v>
      </c>
      <c r="H742" s="72">
        <v>0</v>
      </c>
    </row>
    <row r="743" spans="2:8" ht="12">
      <c r="B743" s="64">
        <v>737</v>
      </c>
      <c r="C743" s="64" t="s">
        <v>1875</v>
      </c>
      <c r="D743" s="66" t="s">
        <v>1112</v>
      </c>
      <c r="E743" s="71">
        <v>0</v>
      </c>
      <c r="F743" s="71">
        <v>0</v>
      </c>
      <c r="G743" s="72">
        <v>0</v>
      </c>
      <c r="H743" s="72">
        <v>0</v>
      </c>
    </row>
    <row r="744" spans="2:8" ht="12">
      <c r="B744" s="64">
        <v>738</v>
      </c>
      <c r="C744" s="64" t="s">
        <v>1113</v>
      </c>
      <c r="D744" s="66" t="s">
        <v>1114</v>
      </c>
      <c r="E744" s="71">
        <v>0</v>
      </c>
      <c r="F744" s="71">
        <v>0</v>
      </c>
      <c r="G744" s="72">
        <v>0</v>
      </c>
      <c r="H744" s="72">
        <v>0</v>
      </c>
    </row>
    <row r="745" spans="2:8" ht="12">
      <c r="B745" s="64">
        <v>739</v>
      </c>
      <c r="C745" s="64" t="s">
        <v>2606</v>
      </c>
      <c r="D745" s="66" t="s">
        <v>1105</v>
      </c>
      <c r="E745" s="71">
        <v>0</v>
      </c>
      <c r="F745" s="71">
        <v>0</v>
      </c>
      <c r="G745" s="72">
        <v>0</v>
      </c>
      <c r="H745" s="72">
        <v>0</v>
      </c>
    </row>
    <row r="746" spans="2:8" ht="12">
      <c r="B746" s="64">
        <v>740</v>
      </c>
      <c r="C746" s="64" t="s">
        <v>2607</v>
      </c>
      <c r="D746" s="66" t="s">
        <v>2608</v>
      </c>
      <c r="E746" s="71">
        <v>0</v>
      </c>
      <c r="F746" s="71">
        <v>0</v>
      </c>
      <c r="G746" s="72">
        <v>0</v>
      </c>
      <c r="H746" s="72">
        <v>0</v>
      </c>
    </row>
    <row r="747" spans="2:8" ht="12">
      <c r="B747" s="64">
        <v>741</v>
      </c>
      <c r="C747" s="64" t="s">
        <v>2609</v>
      </c>
      <c r="D747" s="66" t="s">
        <v>1948</v>
      </c>
      <c r="E747" s="71">
        <v>0</v>
      </c>
      <c r="F747" s="71">
        <v>0</v>
      </c>
      <c r="G747" s="72">
        <v>0</v>
      </c>
      <c r="H747" s="72">
        <v>0</v>
      </c>
    </row>
    <row r="748" spans="2:8" ht="12">
      <c r="B748" s="64">
        <v>742</v>
      </c>
      <c r="C748" s="64" t="s">
        <v>1742</v>
      </c>
      <c r="D748" s="66" t="s">
        <v>1743</v>
      </c>
      <c r="E748" s="71">
        <v>0</v>
      </c>
      <c r="F748" s="71">
        <v>0</v>
      </c>
      <c r="G748" s="72">
        <v>0</v>
      </c>
      <c r="H748" s="72">
        <v>0</v>
      </c>
    </row>
    <row r="749" spans="2:8" ht="12">
      <c r="B749" s="64">
        <v>743</v>
      </c>
      <c r="C749" s="64" t="s">
        <v>2610</v>
      </c>
      <c r="D749" s="66" t="s">
        <v>1856</v>
      </c>
      <c r="E749" s="71">
        <v>0</v>
      </c>
      <c r="F749" s="71">
        <v>0</v>
      </c>
      <c r="G749" s="72">
        <v>0</v>
      </c>
      <c r="H749" s="72">
        <v>0</v>
      </c>
    </row>
    <row r="750" spans="2:8" ht="12">
      <c r="B750" s="64">
        <v>744</v>
      </c>
      <c r="C750" s="64" t="s">
        <v>1744</v>
      </c>
      <c r="D750" s="66" t="s">
        <v>2611</v>
      </c>
      <c r="E750" s="71">
        <v>0</v>
      </c>
      <c r="F750" s="71">
        <v>0</v>
      </c>
      <c r="G750" s="72">
        <v>0</v>
      </c>
      <c r="H750" s="72">
        <v>0</v>
      </c>
    </row>
    <row r="751" spans="2:8" ht="12">
      <c r="B751" s="64">
        <v>745</v>
      </c>
      <c r="C751" s="64" t="s">
        <v>2612</v>
      </c>
      <c r="D751" s="66" t="s">
        <v>2613</v>
      </c>
      <c r="E751" s="71">
        <v>0</v>
      </c>
      <c r="F751" s="71">
        <v>0</v>
      </c>
      <c r="G751" s="72">
        <v>0</v>
      </c>
      <c r="H751" s="72">
        <v>0</v>
      </c>
    </row>
    <row r="752" spans="2:8" ht="12">
      <c r="B752" s="64">
        <v>746</v>
      </c>
      <c r="C752" s="64" t="s">
        <v>2614</v>
      </c>
      <c r="D752" s="66" t="s">
        <v>2615</v>
      </c>
      <c r="E752" s="71">
        <v>0</v>
      </c>
      <c r="F752" s="71">
        <v>0</v>
      </c>
      <c r="G752" s="72">
        <v>0</v>
      </c>
      <c r="H752" s="72">
        <v>0</v>
      </c>
    </row>
    <row r="753" spans="2:8" ht="12">
      <c r="B753" s="64">
        <v>747</v>
      </c>
      <c r="C753" s="64" t="s">
        <v>1830</v>
      </c>
      <c r="D753" s="66" t="s">
        <v>1791</v>
      </c>
      <c r="E753" s="71">
        <v>0</v>
      </c>
      <c r="F753" s="71">
        <v>0</v>
      </c>
      <c r="G753" s="72">
        <v>0</v>
      </c>
      <c r="H753" s="72">
        <v>0</v>
      </c>
    </row>
    <row r="754" spans="2:8" ht="12">
      <c r="B754" s="64">
        <v>748</v>
      </c>
      <c r="C754" s="64" t="s">
        <v>1406</v>
      </c>
      <c r="D754" s="66" t="s">
        <v>1115</v>
      </c>
      <c r="E754" s="71">
        <v>0</v>
      </c>
      <c r="F754" s="71">
        <v>0</v>
      </c>
      <c r="G754" s="72">
        <v>0</v>
      </c>
      <c r="H754" s="72">
        <v>0</v>
      </c>
    </row>
    <row r="755" spans="2:8" ht="12">
      <c r="B755" s="64">
        <v>749</v>
      </c>
      <c r="C755" s="64" t="s">
        <v>2616</v>
      </c>
      <c r="D755" s="66" t="s">
        <v>1116</v>
      </c>
      <c r="E755" s="71">
        <v>0</v>
      </c>
      <c r="F755" s="71">
        <v>0</v>
      </c>
      <c r="G755" s="72">
        <v>0</v>
      </c>
      <c r="H755" s="72">
        <v>0</v>
      </c>
    </row>
    <row r="756" spans="2:8" ht="12">
      <c r="B756" s="64">
        <v>750</v>
      </c>
      <c r="C756" s="64" t="s">
        <v>1117</v>
      </c>
      <c r="D756" s="66" t="s">
        <v>1118</v>
      </c>
      <c r="E756" s="71">
        <v>0</v>
      </c>
      <c r="F756" s="71">
        <v>0</v>
      </c>
      <c r="G756" s="72">
        <v>0</v>
      </c>
      <c r="H756" s="72">
        <v>0</v>
      </c>
    </row>
    <row r="757" spans="2:8" ht="12">
      <c r="B757" s="64">
        <v>751</v>
      </c>
      <c r="C757" s="64" t="s">
        <v>1407</v>
      </c>
      <c r="D757" s="66" t="s">
        <v>1119</v>
      </c>
      <c r="E757" s="71">
        <v>0</v>
      </c>
      <c r="F757" s="71">
        <v>0</v>
      </c>
      <c r="G757" s="72">
        <v>0</v>
      </c>
      <c r="H757" s="72">
        <v>0</v>
      </c>
    </row>
    <row r="758" spans="2:8" ht="12">
      <c r="B758" s="64">
        <v>752</v>
      </c>
      <c r="C758" s="64" t="s">
        <v>2617</v>
      </c>
      <c r="D758" s="66" t="s">
        <v>1120</v>
      </c>
      <c r="E758" s="71">
        <v>0</v>
      </c>
      <c r="F758" s="71">
        <v>0</v>
      </c>
      <c r="G758" s="72">
        <v>0</v>
      </c>
      <c r="H758" s="72">
        <v>0</v>
      </c>
    </row>
    <row r="759" spans="2:8" ht="12">
      <c r="B759" s="64">
        <v>753</v>
      </c>
      <c r="C759" s="64" t="s">
        <v>1408</v>
      </c>
      <c r="D759" s="66" t="s">
        <v>1682</v>
      </c>
      <c r="E759" s="71">
        <v>0</v>
      </c>
      <c r="F759" s="71">
        <v>0</v>
      </c>
      <c r="G759" s="72">
        <v>0</v>
      </c>
      <c r="H759" s="72">
        <v>0</v>
      </c>
    </row>
    <row r="760" spans="2:8" ht="12">
      <c r="B760" s="64">
        <v>754</v>
      </c>
      <c r="C760" s="64" t="s">
        <v>1121</v>
      </c>
      <c r="D760" s="66" t="s">
        <v>1122</v>
      </c>
      <c r="E760" s="71">
        <v>0</v>
      </c>
      <c r="F760" s="71">
        <v>0</v>
      </c>
      <c r="G760" s="72">
        <v>0</v>
      </c>
      <c r="H760" s="72">
        <v>0</v>
      </c>
    </row>
    <row r="761" spans="2:8" ht="12">
      <c r="B761" s="64">
        <v>755</v>
      </c>
      <c r="C761" s="64" t="s">
        <v>2618</v>
      </c>
      <c r="D761" s="66" t="s">
        <v>1123</v>
      </c>
      <c r="E761" s="71">
        <v>0</v>
      </c>
      <c r="F761" s="71">
        <v>0</v>
      </c>
      <c r="G761" s="72">
        <v>0</v>
      </c>
      <c r="H761" s="72">
        <v>0</v>
      </c>
    </row>
    <row r="762" spans="2:8" ht="12">
      <c r="B762" s="64">
        <v>756</v>
      </c>
      <c r="C762" s="64" t="s">
        <v>1124</v>
      </c>
      <c r="D762" s="66" t="s">
        <v>1409</v>
      </c>
      <c r="E762" s="71">
        <v>0</v>
      </c>
      <c r="F762" s="71">
        <v>0</v>
      </c>
      <c r="G762" s="72">
        <v>0</v>
      </c>
      <c r="H762" s="72">
        <v>0</v>
      </c>
    </row>
    <row r="763" spans="2:8" ht="12">
      <c r="B763" s="64">
        <v>757</v>
      </c>
      <c r="C763" s="64" t="s">
        <v>2619</v>
      </c>
      <c r="D763" s="66" t="s">
        <v>2620</v>
      </c>
      <c r="E763" s="71">
        <v>0</v>
      </c>
      <c r="F763" s="71">
        <v>0</v>
      </c>
      <c r="G763" s="72">
        <v>0</v>
      </c>
      <c r="H763" s="72">
        <v>0</v>
      </c>
    </row>
    <row r="764" spans="2:8" ht="12">
      <c r="B764" s="64">
        <v>758</v>
      </c>
      <c r="C764" s="64" t="s">
        <v>1683</v>
      </c>
      <c r="D764" s="66" t="s">
        <v>1410</v>
      </c>
      <c r="E764" s="71">
        <v>0</v>
      </c>
      <c r="F764" s="71">
        <v>0</v>
      </c>
      <c r="G764" s="72">
        <v>0</v>
      </c>
      <c r="H764" s="72">
        <v>0</v>
      </c>
    </row>
    <row r="765" spans="2:8" ht="12">
      <c r="B765" s="64">
        <v>759</v>
      </c>
      <c r="C765" s="64" t="s">
        <v>1125</v>
      </c>
      <c r="D765" s="66" t="s">
        <v>2621</v>
      </c>
      <c r="E765" s="71">
        <v>0</v>
      </c>
      <c r="F765" s="71">
        <v>0</v>
      </c>
      <c r="G765" s="72">
        <v>0</v>
      </c>
      <c r="H765" s="72">
        <v>0</v>
      </c>
    </row>
    <row r="766" spans="2:8" ht="12">
      <c r="B766" s="64">
        <v>760</v>
      </c>
      <c r="C766" s="64" t="s">
        <v>1745</v>
      </c>
      <c r="D766" s="66" t="s">
        <v>1126</v>
      </c>
      <c r="E766" s="71">
        <v>0</v>
      </c>
      <c r="F766" s="71">
        <v>0</v>
      </c>
      <c r="G766" s="72">
        <v>0</v>
      </c>
      <c r="H766" s="72">
        <v>0</v>
      </c>
    </row>
    <row r="767" spans="2:8" ht="12">
      <c r="B767" s="64">
        <v>761</v>
      </c>
      <c r="C767" s="64" t="s">
        <v>2622</v>
      </c>
      <c r="D767" s="66" t="s">
        <v>611</v>
      </c>
      <c r="E767" s="71">
        <v>0</v>
      </c>
      <c r="F767" s="71">
        <v>0</v>
      </c>
      <c r="G767" s="72">
        <v>0</v>
      </c>
      <c r="H767" s="72">
        <v>0</v>
      </c>
    </row>
    <row r="768" spans="2:8" ht="12">
      <c r="B768" s="64">
        <v>762</v>
      </c>
      <c r="C768" s="64" t="s">
        <v>2623</v>
      </c>
      <c r="D768" s="66" t="s">
        <v>2624</v>
      </c>
      <c r="E768" s="71">
        <v>0</v>
      </c>
      <c r="F768" s="71">
        <v>0</v>
      </c>
      <c r="G768" s="72">
        <v>0</v>
      </c>
      <c r="H768" s="72">
        <v>0</v>
      </c>
    </row>
    <row r="769" spans="2:8" ht="12">
      <c r="B769" s="64">
        <v>763</v>
      </c>
      <c r="C769" s="64" t="s">
        <v>1814</v>
      </c>
      <c r="D769" s="66" t="s">
        <v>2625</v>
      </c>
      <c r="E769" s="71">
        <v>0</v>
      </c>
      <c r="F769" s="71">
        <v>0</v>
      </c>
      <c r="G769" s="72">
        <v>0</v>
      </c>
      <c r="H769" s="72">
        <v>0</v>
      </c>
    </row>
    <row r="770" spans="2:8" ht="12">
      <c r="B770" s="64">
        <v>764</v>
      </c>
      <c r="C770" s="64" t="s">
        <v>1815</v>
      </c>
      <c r="D770" s="66" t="s">
        <v>2626</v>
      </c>
      <c r="E770" s="71">
        <v>0</v>
      </c>
      <c r="F770" s="71">
        <v>0</v>
      </c>
      <c r="G770" s="72">
        <v>0</v>
      </c>
      <c r="H770" s="72">
        <v>0</v>
      </c>
    </row>
    <row r="771" spans="2:8" ht="12">
      <c r="B771" s="64">
        <v>765</v>
      </c>
      <c r="C771" s="64" t="s">
        <v>1411</v>
      </c>
      <c r="D771" s="66" t="s">
        <v>1127</v>
      </c>
      <c r="E771" s="71">
        <v>0</v>
      </c>
      <c r="F771" s="71">
        <v>0</v>
      </c>
      <c r="G771" s="72">
        <v>0</v>
      </c>
      <c r="H771" s="72">
        <v>0</v>
      </c>
    </row>
    <row r="772" spans="2:8" ht="12">
      <c r="B772" s="64">
        <v>766</v>
      </c>
      <c r="C772" s="64" t="s">
        <v>2627</v>
      </c>
      <c r="D772" s="66" t="s">
        <v>1412</v>
      </c>
      <c r="E772" s="71">
        <v>0</v>
      </c>
      <c r="F772" s="71">
        <v>0</v>
      </c>
      <c r="G772" s="72">
        <v>0</v>
      </c>
      <c r="H772" s="72">
        <v>0</v>
      </c>
    </row>
    <row r="773" spans="2:8" ht="12">
      <c r="B773" s="64">
        <v>767</v>
      </c>
      <c r="C773" s="64" t="s">
        <v>2628</v>
      </c>
      <c r="D773" s="66" t="s">
        <v>2629</v>
      </c>
      <c r="E773" s="71">
        <v>0</v>
      </c>
      <c r="F773" s="71">
        <v>0</v>
      </c>
      <c r="G773" s="72">
        <v>0</v>
      </c>
      <c r="H773" s="72">
        <v>0</v>
      </c>
    </row>
    <row r="774" spans="2:8" ht="12">
      <c r="B774" s="64">
        <v>768</v>
      </c>
      <c r="C774" s="64" t="s">
        <v>612</v>
      </c>
      <c r="D774" s="66" t="s">
        <v>1413</v>
      </c>
      <c r="E774" s="71">
        <v>0</v>
      </c>
      <c r="F774" s="71">
        <v>0</v>
      </c>
      <c r="G774" s="72">
        <v>0</v>
      </c>
      <c r="H774" s="72">
        <v>0</v>
      </c>
    </row>
    <row r="775" spans="2:8" ht="12">
      <c r="B775" s="64">
        <v>769</v>
      </c>
      <c r="C775" s="64" t="s">
        <v>1831</v>
      </c>
      <c r="D775" s="66" t="s">
        <v>2630</v>
      </c>
      <c r="E775" s="71">
        <v>0</v>
      </c>
      <c r="F775" s="71">
        <v>0</v>
      </c>
      <c r="G775" s="72">
        <v>0</v>
      </c>
      <c r="H775" s="72">
        <v>0</v>
      </c>
    </row>
    <row r="776" spans="2:8" ht="12">
      <c r="B776" s="64">
        <v>770</v>
      </c>
      <c r="C776" s="64" t="s">
        <v>1128</v>
      </c>
      <c r="D776" s="66" t="s">
        <v>2631</v>
      </c>
      <c r="E776" s="71">
        <v>0</v>
      </c>
      <c r="F776" s="71">
        <v>0</v>
      </c>
      <c r="G776" s="72">
        <v>0</v>
      </c>
      <c r="H776" s="72">
        <v>0</v>
      </c>
    </row>
    <row r="777" spans="2:8" ht="12">
      <c r="B777" s="64">
        <v>771</v>
      </c>
      <c r="C777" s="64" t="s">
        <v>613</v>
      </c>
      <c r="D777" s="66" t="s">
        <v>614</v>
      </c>
      <c r="E777" s="71">
        <v>0</v>
      </c>
      <c r="F777" s="71">
        <v>0</v>
      </c>
      <c r="G777" s="72">
        <v>0</v>
      </c>
      <c r="H777" s="72">
        <v>0</v>
      </c>
    </row>
    <row r="778" spans="2:8" ht="12">
      <c r="B778" s="64">
        <v>772</v>
      </c>
      <c r="C778" s="64" t="s">
        <v>1129</v>
      </c>
      <c r="D778" s="66" t="s">
        <v>1414</v>
      </c>
      <c r="E778" s="71">
        <v>0</v>
      </c>
      <c r="F778" s="71">
        <v>0</v>
      </c>
      <c r="G778" s="72">
        <v>0</v>
      </c>
      <c r="H778" s="72">
        <v>0</v>
      </c>
    </row>
    <row r="779" spans="2:8" ht="12">
      <c r="B779" s="64">
        <v>773</v>
      </c>
      <c r="C779" s="64" t="s">
        <v>2632</v>
      </c>
      <c r="D779" s="66" t="s">
        <v>1594</v>
      </c>
      <c r="E779" s="71">
        <v>0</v>
      </c>
      <c r="F779" s="71">
        <v>0</v>
      </c>
      <c r="G779" s="72">
        <v>0</v>
      </c>
      <c r="H779" s="72">
        <v>0</v>
      </c>
    </row>
    <row r="780" spans="2:8" ht="12">
      <c r="B780" s="64">
        <v>774</v>
      </c>
      <c r="C780" s="64" t="s">
        <v>1415</v>
      </c>
      <c r="D780" s="66" t="s">
        <v>2633</v>
      </c>
      <c r="E780" s="71">
        <v>0</v>
      </c>
      <c r="F780" s="71">
        <v>0</v>
      </c>
      <c r="G780" s="72">
        <v>0</v>
      </c>
      <c r="H780" s="72">
        <v>0</v>
      </c>
    </row>
    <row r="781" spans="2:8" ht="12">
      <c r="B781" s="64">
        <v>775</v>
      </c>
      <c r="C781" s="64" t="s">
        <v>2634</v>
      </c>
      <c r="D781" s="66" t="s">
        <v>2635</v>
      </c>
      <c r="E781" s="71">
        <v>0</v>
      </c>
      <c r="F781" s="71">
        <v>0</v>
      </c>
      <c r="G781" s="72">
        <v>0</v>
      </c>
      <c r="H781" s="72">
        <v>0</v>
      </c>
    </row>
    <row r="782" spans="2:8" ht="12">
      <c r="B782" s="64">
        <v>776</v>
      </c>
      <c r="C782" s="64" t="s">
        <v>1595</v>
      </c>
      <c r="D782" s="66" t="s">
        <v>1832</v>
      </c>
      <c r="E782" s="71">
        <v>0</v>
      </c>
      <c r="F782" s="71">
        <v>0</v>
      </c>
      <c r="G782" s="72">
        <v>0</v>
      </c>
      <c r="H782" s="72">
        <v>0</v>
      </c>
    </row>
    <row r="783" spans="2:8" ht="12">
      <c r="B783" s="64">
        <v>777</v>
      </c>
      <c r="C783" s="64" t="s">
        <v>1876</v>
      </c>
      <c r="D783" s="66" t="s">
        <v>615</v>
      </c>
      <c r="E783" s="71">
        <v>0</v>
      </c>
      <c r="F783" s="71">
        <v>0</v>
      </c>
      <c r="G783" s="72">
        <v>0</v>
      </c>
      <c r="H783" s="72">
        <v>0</v>
      </c>
    </row>
    <row r="784" spans="2:8" ht="12">
      <c r="B784" s="64">
        <v>778</v>
      </c>
      <c r="C784" s="64" t="s">
        <v>1416</v>
      </c>
      <c r="D784" s="66" t="s">
        <v>1792</v>
      </c>
      <c r="E784" s="71">
        <v>0</v>
      </c>
      <c r="F784" s="71">
        <v>0</v>
      </c>
      <c r="G784" s="72">
        <v>0</v>
      </c>
      <c r="H784" s="72">
        <v>0</v>
      </c>
    </row>
    <row r="785" spans="2:8" ht="12">
      <c r="B785" s="64">
        <v>779</v>
      </c>
      <c r="C785" s="64" t="s">
        <v>1916</v>
      </c>
      <c r="D785" s="66" t="s">
        <v>2636</v>
      </c>
      <c r="E785" s="71">
        <v>0</v>
      </c>
      <c r="F785" s="71">
        <v>0</v>
      </c>
      <c r="G785" s="72">
        <v>0</v>
      </c>
      <c r="H785" s="72">
        <v>0</v>
      </c>
    </row>
    <row r="786" spans="2:8" ht="12">
      <c r="B786" s="64">
        <v>780</v>
      </c>
      <c r="C786" s="64" t="s">
        <v>2637</v>
      </c>
      <c r="D786" s="66" t="s">
        <v>1793</v>
      </c>
      <c r="E786" s="71">
        <v>0</v>
      </c>
      <c r="F786" s="71">
        <v>0</v>
      </c>
      <c r="G786" s="72">
        <v>0</v>
      </c>
      <c r="H786" s="72">
        <v>0</v>
      </c>
    </row>
    <row r="787" spans="2:8" ht="12">
      <c r="B787" s="64">
        <v>781</v>
      </c>
      <c r="C787" s="64" t="s">
        <v>1130</v>
      </c>
      <c r="D787" s="66" t="s">
        <v>1936</v>
      </c>
      <c r="E787" s="71">
        <v>0</v>
      </c>
      <c r="F787" s="71">
        <v>0</v>
      </c>
      <c r="G787" s="72">
        <v>0</v>
      </c>
      <c r="H787" s="72">
        <v>0</v>
      </c>
    </row>
    <row r="788" spans="2:8" ht="12">
      <c r="B788" s="64">
        <v>782</v>
      </c>
      <c r="C788" s="64" t="s">
        <v>2638</v>
      </c>
      <c r="D788" s="66" t="s">
        <v>2639</v>
      </c>
      <c r="E788" s="71">
        <v>0</v>
      </c>
      <c r="F788" s="71">
        <v>0</v>
      </c>
      <c r="G788" s="72">
        <v>0</v>
      </c>
      <c r="H788" s="72">
        <v>0</v>
      </c>
    </row>
    <row r="789" spans="2:8" ht="12">
      <c r="B789" s="64">
        <v>783</v>
      </c>
      <c r="C789" s="64" t="s">
        <v>1684</v>
      </c>
      <c r="D789" s="66" t="s">
        <v>1536</v>
      </c>
      <c r="E789" s="71">
        <v>0</v>
      </c>
      <c r="F789" s="71">
        <v>0</v>
      </c>
      <c r="G789" s="72">
        <v>0</v>
      </c>
      <c r="H789" s="72">
        <v>0</v>
      </c>
    </row>
    <row r="790" spans="2:8" ht="12">
      <c r="B790" s="64">
        <v>784</v>
      </c>
      <c r="C790" s="64" t="s">
        <v>1816</v>
      </c>
      <c r="D790" s="66" t="s">
        <v>616</v>
      </c>
      <c r="E790" s="71">
        <v>0</v>
      </c>
      <c r="F790" s="71">
        <v>0</v>
      </c>
      <c r="G790" s="72">
        <v>0</v>
      </c>
      <c r="H790" s="72">
        <v>0</v>
      </c>
    </row>
    <row r="791" spans="2:8" ht="12">
      <c r="B791" s="64">
        <v>785</v>
      </c>
      <c r="C791" s="64" t="s">
        <v>1596</v>
      </c>
      <c r="D791" s="66" t="s">
        <v>1131</v>
      </c>
      <c r="E791" s="71">
        <v>0</v>
      </c>
      <c r="F791" s="71">
        <v>0</v>
      </c>
      <c r="G791" s="72">
        <v>0</v>
      </c>
      <c r="H791" s="72">
        <v>0</v>
      </c>
    </row>
    <row r="792" spans="2:8" ht="12">
      <c r="B792" s="64">
        <v>786</v>
      </c>
      <c r="C792" s="64" t="s">
        <v>1537</v>
      </c>
      <c r="D792" s="66" t="s">
        <v>617</v>
      </c>
      <c r="E792" s="71">
        <v>0</v>
      </c>
      <c r="F792" s="71">
        <v>0</v>
      </c>
      <c r="G792" s="72">
        <v>0</v>
      </c>
      <c r="H792" s="72">
        <v>0</v>
      </c>
    </row>
    <row r="793" spans="2:8" ht="12">
      <c r="B793" s="64">
        <v>787</v>
      </c>
      <c r="C793" s="64" t="s">
        <v>1417</v>
      </c>
      <c r="D793" s="66" t="s">
        <v>2640</v>
      </c>
      <c r="E793" s="71">
        <v>0</v>
      </c>
      <c r="F793" s="71">
        <v>0</v>
      </c>
      <c r="G793" s="72">
        <v>0</v>
      </c>
      <c r="H793" s="72">
        <v>0</v>
      </c>
    </row>
    <row r="794" spans="2:8" ht="12">
      <c r="B794" s="64">
        <v>788</v>
      </c>
      <c r="C794" s="64" t="s">
        <v>1418</v>
      </c>
      <c r="D794" s="66" t="s">
        <v>1419</v>
      </c>
      <c r="E794" s="71">
        <v>0</v>
      </c>
      <c r="F794" s="71">
        <v>0</v>
      </c>
      <c r="G794" s="72">
        <v>0</v>
      </c>
      <c r="H794" s="72">
        <v>0</v>
      </c>
    </row>
    <row r="795" spans="2:8" ht="12">
      <c r="B795" s="64">
        <v>789</v>
      </c>
      <c r="C795" s="64" t="s">
        <v>2641</v>
      </c>
      <c r="D795" s="66" t="s">
        <v>2642</v>
      </c>
      <c r="E795" s="71">
        <v>0</v>
      </c>
      <c r="F795" s="71">
        <v>0</v>
      </c>
      <c r="G795" s="72">
        <v>0</v>
      </c>
      <c r="H795" s="72">
        <v>0</v>
      </c>
    </row>
    <row r="796" spans="2:8" ht="12">
      <c r="B796" s="64">
        <v>790</v>
      </c>
      <c r="C796" s="64" t="s">
        <v>1420</v>
      </c>
      <c r="D796" s="66" t="s">
        <v>2643</v>
      </c>
      <c r="E796" s="71">
        <v>0</v>
      </c>
      <c r="F796" s="71">
        <v>0</v>
      </c>
      <c r="G796" s="72">
        <v>0</v>
      </c>
      <c r="H796" s="72">
        <v>0</v>
      </c>
    </row>
    <row r="797" spans="2:8" ht="12">
      <c r="B797" s="64">
        <v>791</v>
      </c>
      <c r="C797" s="64" t="s">
        <v>1746</v>
      </c>
      <c r="D797" s="66" t="s">
        <v>2644</v>
      </c>
      <c r="E797" s="71">
        <v>0</v>
      </c>
      <c r="F797" s="71">
        <v>0</v>
      </c>
      <c r="G797" s="72">
        <v>0</v>
      </c>
      <c r="H797" s="72">
        <v>0</v>
      </c>
    </row>
    <row r="798" spans="2:8" ht="12">
      <c r="B798" s="64">
        <v>792</v>
      </c>
      <c r="C798" s="64" t="s">
        <v>2645</v>
      </c>
      <c r="D798" s="66" t="s">
        <v>2646</v>
      </c>
      <c r="E798" s="71">
        <v>0</v>
      </c>
      <c r="F798" s="71">
        <v>0</v>
      </c>
      <c r="G798" s="72">
        <v>0</v>
      </c>
      <c r="H798" s="72">
        <v>0</v>
      </c>
    </row>
    <row r="799" spans="2:8" ht="12">
      <c r="B799" s="64">
        <v>793</v>
      </c>
      <c r="C799" s="64" t="s">
        <v>1937</v>
      </c>
      <c r="D799" s="66" t="s">
        <v>1421</v>
      </c>
      <c r="E799" s="71">
        <v>0</v>
      </c>
      <c r="F799" s="71">
        <v>0</v>
      </c>
      <c r="G799" s="72">
        <v>0</v>
      </c>
      <c r="H799" s="72">
        <v>0</v>
      </c>
    </row>
    <row r="800" spans="2:8" ht="12">
      <c r="B800" s="64">
        <v>794</v>
      </c>
      <c r="C800" s="64" t="s">
        <v>1422</v>
      </c>
      <c r="D800" s="66" t="s">
        <v>618</v>
      </c>
      <c r="E800" s="71">
        <v>0</v>
      </c>
      <c r="F800" s="71">
        <v>0</v>
      </c>
      <c r="G800" s="72">
        <v>0</v>
      </c>
      <c r="H800" s="72">
        <v>0</v>
      </c>
    </row>
    <row r="801" spans="2:8" ht="12">
      <c r="B801" s="64">
        <v>795</v>
      </c>
      <c r="C801" s="64" t="s">
        <v>2647</v>
      </c>
      <c r="D801" s="66" t="s">
        <v>2648</v>
      </c>
      <c r="E801" s="71">
        <v>0</v>
      </c>
      <c r="F801" s="71">
        <v>0</v>
      </c>
      <c r="G801" s="72">
        <v>0</v>
      </c>
      <c r="H801" s="72">
        <v>0</v>
      </c>
    </row>
    <row r="802" spans="2:8" ht="12">
      <c r="B802" s="64">
        <v>796</v>
      </c>
      <c r="C802" s="64" t="s">
        <v>1423</v>
      </c>
      <c r="D802" s="66" t="s">
        <v>1833</v>
      </c>
      <c r="E802" s="71">
        <v>0</v>
      </c>
      <c r="F802" s="71">
        <v>0</v>
      </c>
      <c r="G802" s="72">
        <v>0</v>
      </c>
      <c r="H802" s="72">
        <v>0</v>
      </c>
    </row>
    <row r="803" spans="2:8" ht="12">
      <c r="B803" s="64">
        <v>797</v>
      </c>
      <c r="C803" s="64" t="s">
        <v>2649</v>
      </c>
      <c r="D803" s="66" t="s">
        <v>1747</v>
      </c>
      <c r="E803" s="71">
        <v>0</v>
      </c>
      <c r="F803" s="71">
        <v>0</v>
      </c>
      <c r="G803" s="72">
        <v>0</v>
      </c>
      <c r="H803" s="72">
        <v>0</v>
      </c>
    </row>
    <row r="804" spans="2:8" ht="12">
      <c r="B804" s="64">
        <v>798</v>
      </c>
      <c r="C804" s="64" t="s">
        <v>1538</v>
      </c>
      <c r="D804" s="66" t="s">
        <v>1877</v>
      </c>
      <c r="E804" s="71">
        <v>0</v>
      </c>
      <c r="F804" s="71">
        <v>0</v>
      </c>
      <c r="G804" s="72">
        <v>0</v>
      </c>
      <c r="H804" s="72">
        <v>0</v>
      </c>
    </row>
    <row r="805" spans="2:8" ht="12">
      <c r="B805" s="64">
        <v>799</v>
      </c>
      <c r="C805" s="64" t="s">
        <v>1857</v>
      </c>
      <c r="D805" s="66" t="s">
        <v>1878</v>
      </c>
      <c r="E805" s="71">
        <v>0</v>
      </c>
      <c r="F805" s="71">
        <v>0</v>
      </c>
      <c r="G805" s="72">
        <v>0</v>
      </c>
      <c r="H805" s="72">
        <v>0</v>
      </c>
    </row>
    <row r="806" spans="2:8" ht="12">
      <c r="B806" s="64">
        <v>800</v>
      </c>
      <c r="C806" s="64" t="s">
        <v>1424</v>
      </c>
      <c r="D806" s="66" t="s">
        <v>1597</v>
      </c>
      <c r="E806" s="71">
        <v>0</v>
      </c>
      <c r="F806" s="71">
        <v>0</v>
      </c>
      <c r="G806" s="72">
        <v>0</v>
      </c>
      <c r="H806" s="72">
        <v>0</v>
      </c>
    </row>
    <row r="807" spans="2:8" ht="12">
      <c r="B807" s="64">
        <v>801</v>
      </c>
      <c r="C807" s="64" t="s">
        <v>2650</v>
      </c>
      <c r="D807" s="66" t="s">
        <v>1425</v>
      </c>
      <c r="E807" s="71">
        <v>0</v>
      </c>
      <c r="F807" s="71">
        <v>0</v>
      </c>
      <c r="G807" s="72">
        <v>0</v>
      </c>
      <c r="H807" s="72">
        <v>0</v>
      </c>
    </row>
    <row r="808" spans="2:8" ht="12">
      <c r="B808" s="64">
        <v>802</v>
      </c>
      <c r="C808" s="64" t="s">
        <v>1598</v>
      </c>
      <c r="D808" s="66" t="s">
        <v>2651</v>
      </c>
      <c r="E808" s="71">
        <v>0</v>
      </c>
      <c r="F808" s="71">
        <v>0</v>
      </c>
      <c r="G808" s="72">
        <v>0</v>
      </c>
      <c r="H808" s="72">
        <v>0</v>
      </c>
    </row>
    <row r="809" spans="2:8" ht="12">
      <c r="B809" s="64">
        <v>803</v>
      </c>
      <c r="C809" s="64" t="s">
        <v>619</v>
      </c>
      <c r="D809" s="66" t="s">
        <v>1599</v>
      </c>
      <c r="E809" s="71">
        <v>0</v>
      </c>
      <c r="F809" s="71">
        <v>0</v>
      </c>
      <c r="G809" s="72">
        <v>0</v>
      </c>
      <c r="H809" s="72">
        <v>0</v>
      </c>
    </row>
    <row r="810" spans="2:8" ht="12">
      <c r="B810" s="64">
        <v>804</v>
      </c>
      <c r="C810" s="64" t="s">
        <v>1426</v>
      </c>
      <c r="D810" s="66" t="s">
        <v>1600</v>
      </c>
      <c r="E810" s="71">
        <v>0</v>
      </c>
      <c r="F810" s="71">
        <v>0</v>
      </c>
      <c r="G810" s="72">
        <v>0</v>
      </c>
      <c r="H810" s="72">
        <v>0</v>
      </c>
    </row>
    <row r="811" spans="2:8" ht="12">
      <c r="B811" s="64">
        <v>805</v>
      </c>
      <c r="C811" s="64" t="s">
        <v>2652</v>
      </c>
      <c r="D811" s="66" t="s">
        <v>2653</v>
      </c>
      <c r="E811" s="71">
        <v>0</v>
      </c>
      <c r="F811" s="71">
        <v>0</v>
      </c>
      <c r="G811" s="72">
        <v>0</v>
      </c>
      <c r="H811" s="72">
        <v>0</v>
      </c>
    </row>
    <row r="812" spans="2:8" ht="12">
      <c r="B812" s="64">
        <v>806</v>
      </c>
      <c r="C812" s="64" t="s">
        <v>1427</v>
      </c>
      <c r="D812" s="66" t="s">
        <v>1428</v>
      </c>
      <c r="E812" s="71">
        <v>0</v>
      </c>
      <c r="F812" s="71">
        <v>0</v>
      </c>
      <c r="G812" s="72">
        <v>0</v>
      </c>
      <c r="H812" s="72">
        <v>0</v>
      </c>
    </row>
    <row r="813" spans="2:8" ht="12">
      <c r="B813" s="64">
        <v>807</v>
      </c>
      <c r="C813" s="64" t="s">
        <v>1132</v>
      </c>
      <c r="D813" s="66" t="s">
        <v>2654</v>
      </c>
      <c r="E813" s="71">
        <v>0</v>
      </c>
      <c r="F813" s="71">
        <v>0</v>
      </c>
      <c r="G813" s="72">
        <v>0</v>
      </c>
      <c r="H813" s="72">
        <v>0</v>
      </c>
    </row>
    <row r="814" spans="2:8" ht="12">
      <c r="B814" s="64">
        <v>808</v>
      </c>
      <c r="C814" s="64" t="s">
        <v>1748</v>
      </c>
      <c r="D814" s="66" t="s">
        <v>2655</v>
      </c>
      <c r="E814" s="71">
        <v>0</v>
      </c>
      <c r="F814" s="71">
        <v>0</v>
      </c>
      <c r="G814" s="72">
        <v>0</v>
      </c>
      <c r="H814" s="72">
        <v>0</v>
      </c>
    </row>
    <row r="815" spans="2:8" ht="12">
      <c r="B815" s="64">
        <v>809</v>
      </c>
      <c r="C815" s="64" t="s">
        <v>620</v>
      </c>
      <c r="D815" s="66" t="s">
        <v>1834</v>
      </c>
      <c r="E815" s="71">
        <v>0</v>
      </c>
      <c r="F815" s="71">
        <v>0</v>
      </c>
      <c r="G815" s="72">
        <v>0</v>
      </c>
      <c r="H815" s="72">
        <v>0</v>
      </c>
    </row>
    <row r="816" spans="2:8" ht="12">
      <c r="B816" s="64">
        <v>810</v>
      </c>
      <c r="C816" s="64" t="s">
        <v>1133</v>
      </c>
      <c r="D816" s="66" t="s">
        <v>2656</v>
      </c>
      <c r="E816" s="71">
        <v>0</v>
      </c>
      <c r="F816" s="71">
        <v>0</v>
      </c>
      <c r="G816" s="72">
        <v>0</v>
      </c>
      <c r="H816" s="72">
        <v>0</v>
      </c>
    </row>
    <row r="817" spans="2:8" ht="12">
      <c r="B817" s="64">
        <v>811</v>
      </c>
      <c r="C817" s="64" t="s">
        <v>2657</v>
      </c>
      <c r="D817" s="66" t="s">
        <v>1429</v>
      </c>
      <c r="E817" s="71">
        <v>0</v>
      </c>
      <c r="F817" s="71">
        <v>0</v>
      </c>
      <c r="G817" s="72">
        <v>0</v>
      </c>
      <c r="H817" s="72">
        <v>0</v>
      </c>
    </row>
    <row r="818" spans="2:8" ht="12">
      <c r="B818" s="64">
        <v>812</v>
      </c>
      <c r="C818" s="64" t="s">
        <v>1858</v>
      </c>
      <c r="D818" s="66" t="s">
        <v>2658</v>
      </c>
      <c r="E818" s="71">
        <v>0</v>
      </c>
      <c r="F818" s="71">
        <v>0</v>
      </c>
      <c r="G818" s="72">
        <v>0</v>
      </c>
      <c r="H818" s="72">
        <v>0</v>
      </c>
    </row>
    <row r="819" spans="2:8" ht="12">
      <c r="B819" s="64">
        <v>813</v>
      </c>
      <c r="C819" s="64" t="s">
        <v>1749</v>
      </c>
      <c r="D819" s="66" t="s">
        <v>2659</v>
      </c>
      <c r="E819" s="71">
        <v>0</v>
      </c>
      <c r="F819" s="71">
        <v>0</v>
      </c>
      <c r="G819" s="72">
        <v>0</v>
      </c>
      <c r="H819" s="72">
        <v>0</v>
      </c>
    </row>
    <row r="820" spans="2:8" ht="12">
      <c r="B820" s="64">
        <v>814</v>
      </c>
      <c r="C820" s="64" t="s">
        <v>2660</v>
      </c>
      <c r="D820" s="66" t="s">
        <v>2661</v>
      </c>
      <c r="E820" s="71">
        <v>0</v>
      </c>
      <c r="F820" s="71">
        <v>0</v>
      </c>
      <c r="G820" s="72">
        <v>0</v>
      </c>
      <c r="H820" s="72">
        <v>0</v>
      </c>
    </row>
    <row r="821" spans="2:8" ht="12">
      <c r="B821" s="64">
        <v>815</v>
      </c>
      <c r="C821" s="64" t="s">
        <v>2662</v>
      </c>
      <c r="D821" s="66" t="s">
        <v>2663</v>
      </c>
      <c r="E821" s="71">
        <v>0</v>
      </c>
      <c r="F821" s="71">
        <v>0</v>
      </c>
      <c r="G821" s="72">
        <v>0</v>
      </c>
      <c r="H821" s="72">
        <v>0</v>
      </c>
    </row>
    <row r="822" spans="2:8" ht="12">
      <c r="B822" s="64">
        <v>816</v>
      </c>
      <c r="C822" s="64" t="s">
        <v>1430</v>
      </c>
      <c r="D822" s="66" t="s">
        <v>621</v>
      </c>
      <c r="E822" s="71">
        <v>0</v>
      </c>
      <c r="F822" s="71">
        <v>0</v>
      </c>
      <c r="G822" s="72">
        <v>0</v>
      </c>
      <c r="H822" s="72">
        <v>0</v>
      </c>
    </row>
    <row r="823" spans="2:8" ht="12">
      <c r="B823" s="64">
        <v>817</v>
      </c>
      <c r="C823" s="64" t="s">
        <v>2664</v>
      </c>
      <c r="D823" s="66" t="s">
        <v>1794</v>
      </c>
      <c r="E823" s="71">
        <v>0</v>
      </c>
      <c r="F823" s="71">
        <v>0</v>
      </c>
      <c r="G823" s="72">
        <v>0</v>
      </c>
      <c r="H823" s="72">
        <v>0</v>
      </c>
    </row>
    <row r="824" spans="2:8" ht="12">
      <c r="B824" s="64">
        <v>818</v>
      </c>
      <c r="C824" s="64" t="s">
        <v>2665</v>
      </c>
      <c r="D824" s="66" t="s">
        <v>2666</v>
      </c>
      <c r="E824" s="71">
        <v>0</v>
      </c>
      <c r="F824" s="71">
        <v>0</v>
      </c>
      <c r="G824" s="72">
        <v>0</v>
      </c>
      <c r="H824" s="72">
        <v>0</v>
      </c>
    </row>
    <row r="825" spans="2:8" ht="12">
      <c r="B825" s="64">
        <v>819</v>
      </c>
      <c r="C825" s="64" t="s">
        <v>2667</v>
      </c>
      <c r="D825" s="66" t="s">
        <v>2668</v>
      </c>
      <c r="E825" s="71">
        <v>0</v>
      </c>
      <c r="F825" s="71">
        <v>0</v>
      </c>
      <c r="G825" s="72">
        <v>0</v>
      </c>
      <c r="H825" s="72">
        <v>0</v>
      </c>
    </row>
    <row r="826" spans="2:8" ht="12">
      <c r="B826" s="64">
        <v>820</v>
      </c>
      <c r="C826" s="64" t="s">
        <v>2669</v>
      </c>
      <c r="D826" s="66" t="s">
        <v>622</v>
      </c>
      <c r="E826" s="71">
        <v>0</v>
      </c>
      <c r="F826" s="71">
        <v>0</v>
      </c>
      <c r="G826" s="72">
        <v>0</v>
      </c>
      <c r="H826" s="72">
        <v>0</v>
      </c>
    </row>
    <row r="827" spans="2:8" ht="12">
      <c r="B827" s="64">
        <v>821</v>
      </c>
      <c r="C827" s="64" t="s">
        <v>1795</v>
      </c>
      <c r="D827" s="66" t="s">
        <v>1949</v>
      </c>
      <c r="E827" s="71">
        <v>0</v>
      </c>
      <c r="F827" s="71">
        <v>0</v>
      </c>
      <c r="G827" s="72">
        <v>0</v>
      </c>
      <c r="H827" s="72">
        <v>0</v>
      </c>
    </row>
    <row r="828" spans="2:8" ht="12">
      <c r="B828" s="64">
        <v>822</v>
      </c>
      <c r="C828" s="64" t="s">
        <v>1601</v>
      </c>
      <c r="D828" s="66" t="s">
        <v>2670</v>
      </c>
      <c r="E828" s="71">
        <v>0</v>
      </c>
      <c r="F828" s="71">
        <v>0</v>
      </c>
      <c r="G828" s="72">
        <v>0</v>
      </c>
      <c r="H828" s="72">
        <v>0</v>
      </c>
    </row>
    <row r="829" spans="2:8" ht="12">
      <c r="B829" s="64">
        <v>823</v>
      </c>
      <c r="C829" s="64" t="s">
        <v>2671</v>
      </c>
      <c r="D829" s="66" t="s">
        <v>2672</v>
      </c>
      <c r="E829" s="71">
        <v>0</v>
      </c>
      <c r="F829" s="71">
        <v>0</v>
      </c>
      <c r="G829" s="72">
        <v>0</v>
      </c>
      <c r="H829" s="72">
        <v>0</v>
      </c>
    </row>
    <row r="830" spans="2:8" ht="12">
      <c r="B830" s="64">
        <v>824</v>
      </c>
      <c r="C830" s="64" t="s">
        <v>2673</v>
      </c>
      <c r="D830" s="66" t="s">
        <v>1835</v>
      </c>
      <c r="E830" s="71">
        <v>0</v>
      </c>
      <c r="F830" s="71">
        <v>0</v>
      </c>
      <c r="G830" s="72">
        <v>0</v>
      </c>
      <c r="H830" s="72">
        <v>0</v>
      </c>
    </row>
    <row r="831" spans="2:8" ht="12">
      <c r="B831" s="64">
        <v>825</v>
      </c>
      <c r="C831" s="64" t="s">
        <v>1539</v>
      </c>
      <c r="D831" s="66" t="s">
        <v>1431</v>
      </c>
      <c r="E831" s="71">
        <v>0</v>
      </c>
      <c r="F831" s="71">
        <v>0</v>
      </c>
      <c r="G831" s="72">
        <v>0</v>
      </c>
      <c r="H831" s="72">
        <v>0</v>
      </c>
    </row>
    <row r="832" spans="2:8" ht="12">
      <c r="B832" s="64">
        <v>826</v>
      </c>
      <c r="C832" s="64" t="s">
        <v>1602</v>
      </c>
      <c r="D832" s="66" t="s">
        <v>2674</v>
      </c>
      <c r="E832" s="71">
        <v>0</v>
      </c>
      <c r="F832" s="71">
        <v>0</v>
      </c>
      <c r="G832" s="72">
        <v>0</v>
      </c>
      <c r="H832" s="72">
        <v>0</v>
      </c>
    </row>
    <row r="833" spans="2:8" ht="12">
      <c r="B833" s="64">
        <v>827</v>
      </c>
      <c r="C833" s="64" t="s">
        <v>1836</v>
      </c>
      <c r="D833" s="66" t="s">
        <v>1817</v>
      </c>
      <c r="E833" s="71">
        <v>0</v>
      </c>
      <c r="F833" s="71">
        <v>0</v>
      </c>
      <c r="G833" s="72">
        <v>0</v>
      </c>
      <c r="H833" s="72">
        <v>0</v>
      </c>
    </row>
    <row r="834" spans="2:8" ht="12">
      <c r="B834" s="64">
        <v>828</v>
      </c>
      <c r="C834" s="64" t="s">
        <v>1796</v>
      </c>
      <c r="D834" s="66" t="s">
        <v>1540</v>
      </c>
      <c r="E834" s="71">
        <v>0</v>
      </c>
      <c r="F834" s="71">
        <v>0</v>
      </c>
      <c r="G834" s="72">
        <v>0</v>
      </c>
      <c r="H834" s="72">
        <v>0</v>
      </c>
    </row>
    <row r="835" spans="2:8" ht="12">
      <c r="B835" s="64">
        <v>829</v>
      </c>
      <c r="C835" s="64" t="s">
        <v>1603</v>
      </c>
      <c r="D835" s="66" t="s">
        <v>2675</v>
      </c>
      <c r="E835" s="71">
        <v>0</v>
      </c>
      <c r="F835" s="71">
        <v>0</v>
      </c>
      <c r="G835" s="72">
        <v>0</v>
      </c>
      <c r="H835" s="72">
        <v>0</v>
      </c>
    </row>
    <row r="836" spans="2:8" ht="12">
      <c r="B836" s="64">
        <v>830</v>
      </c>
      <c r="C836" s="64" t="s">
        <v>2676</v>
      </c>
      <c r="D836" s="66" t="s">
        <v>2677</v>
      </c>
      <c r="E836" s="71">
        <v>0</v>
      </c>
      <c r="F836" s="71">
        <v>0</v>
      </c>
      <c r="G836" s="72">
        <v>0</v>
      </c>
      <c r="H836" s="72">
        <v>0</v>
      </c>
    </row>
    <row r="837" spans="2:8" ht="12">
      <c r="B837" s="64">
        <v>831</v>
      </c>
      <c r="C837" s="64" t="s">
        <v>2678</v>
      </c>
      <c r="D837" s="66" t="s">
        <v>2679</v>
      </c>
      <c r="E837" s="71">
        <v>0</v>
      </c>
      <c r="F837" s="71">
        <v>0</v>
      </c>
      <c r="G837" s="72">
        <v>0</v>
      </c>
      <c r="H837" s="72">
        <v>0</v>
      </c>
    </row>
    <row r="838" spans="2:8" ht="12">
      <c r="B838" s="64">
        <v>832</v>
      </c>
      <c r="C838" s="64" t="s">
        <v>2680</v>
      </c>
      <c r="D838" s="66" t="s">
        <v>2681</v>
      </c>
      <c r="E838" s="71">
        <v>0</v>
      </c>
      <c r="F838" s="71">
        <v>0</v>
      </c>
      <c r="G838" s="72">
        <v>0</v>
      </c>
      <c r="H838" s="72">
        <v>0</v>
      </c>
    </row>
    <row r="839" spans="2:8" ht="12">
      <c r="B839" s="64">
        <v>833</v>
      </c>
      <c r="C839" s="64" t="s">
        <v>2682</v>
      </c>
      <c r="D839" s="66" t="s">
        <v>2683</v>
      </c>
      <c r="E839" s="71">
        <v>0</v>
      </c>
      <c r="F839" s="71">
        <v>0</v>
      </c>
      <c r="G839" s="72">
        <v>0</v>
      </c>
      <c r="H839" s="72">
        <v>0</v>
      </c>
    </row>
    <row r="840" spans="2:8" ht="12">
      <c r="B840" s="64">
        <v>834</v>
      </c>
      <c r="C840" s="64" t="s">
        <v>2684</v>
      </c>
      <c r="D840" s="66" t="s">
        <v>1541</v>
      </c>
      <c r="E840" s="71">
        <v>0</v>
      </c>
      <c r="F840" s="71">
        <v>0</v>
      </c>
      <c r="G840" s="72">
        <v>0</v>
      </c>
      <c r="H840" s="72">
        <v>0</v>
      </c>
    </row>
    <row r="841" spans="2:8" ht="12">
      <c r="B841" s="64">
        <v>835</v>
      </c>
      <c r="C841" s="64" t="s">
        <v>2685</v>
      </c>
      <c r="D841" s="66" t="s">
        <v>623</v>
      </c>
      <c r="E841" s="71">
        <v>0</v>
      </c>
      <c r="F841" s="71">
        <v>0</v>
      </c>
      <c r="G841" s="72">
        <v>0</v>
      </c>
      <c r="H841" s="72">
        <v>0</v>
      </c>
    </row>
    <row r="842" spans="2:8" ht="12">
      <c r="B842" s="64">
        <v>836</v>
      </c>
      <c r="C842" s="64" t="s">
        <v>2686</v>
      </c>
      <c r="D842" s="66" t="s">
        <v>2687</v>
      </c>
      <c r="E842" s="71">
        <v>0</v>
      </c>
      <c r="F842" s="71">
        <v>0</v>
      </c>
      <c r="G842" s="72">
        <v>0</v>
      </c>
      <c r="H842" s="72">
        <v>0</v>
      </c>
    </row>
    <row r="843" spans="2:8" ht="12">
      <c r="B843" s="64">
        <v>837</v>
      </c>
      <c r="C843" s="64" t="s">
        <v>1134</v>
      </c>
      <c r="D843" s="66" t="s">
        <v>2688</v>
      </c>
      <c r="E843" s="71">
        <v>0</v>
      </c>
      <c r="F843" s="71">
        <v>0</v>
      </c>
      <c r="G843" s="72">
        <v>0</v>
      </c>
      <c r="H843" s="72">
        <v>0</v>
      </c>
    </row>
    <row r="844" spans="2:8" ht="12">
      <c r="B844" s="64">
        <v>838</v>
      </c>
      <c r="C844" s="64" t="s">
        <v>1859</v>
      </c>
      <c r="D844" s="66" t="s">
        <v>2689</v>
      </c>
      <c r="E844" s="71">
        <v>0</v>
      </c>
      <c r="F844" s="71">
        <v>0</v>
      </c>
      <c r="G844" s="72">
        <v>0</v>
      </c>
      <c r="H844" s="72">
        <v>0</v>
      </c>
    </row>
    <row r="845" spans="2:8" ht="12">
      <c r="B845" s="64">
        <v>839</v>
      </c>
      <c r="C845" s="64" t="s">
        <v>1604</v>
      </c>
      <c r="D845" s="66" t="s">
        <v>1135</v>
      </c>
      <c r="E845" s="71">
        <v>0</v>
      </c>
      <c r="F845" s="71">
        <v>0</v>
      </c>
      <c r="G845" s="72">
        <v>0</v>
      </c>
      <c r="H845" s="72">
        <v>0</v>
      </c>
    </row>
    <row r="846" spans="2:8" ht="12">
      <c r="B846" s="64">
        <v>840</v>
      </c>
      <c r="C846" s="64" t="s">
        <v>1136</v>
      </c>
      <c r="D846" s="66" t="s">
        <v>2690</v>
      </c>
      <c r="E846" s="71">
        <v>0</v>
      </c>
      <c r="F846" s="71">
        <v>0</v>
      </c>
      <c r="G846" s="72">
        <v>0</v>
      </c>
      <c r="H846" s="72">
        <v>0</v>
      </c>
    </row>
    <row r="847" spans="2:8" ht="12">
      <c r="B847" s="64">
        <v>841</v>
      </c>
      <c r="C847" s="64" t="s">
        <v>1927</v>
      </c>
      <c r="D847" s="66" t="s">
        <v>2691</v>
      </c>
      <c r="E847" s="71">
        <v>0</v>
      </c>
      <c r="F847" s="71">
        <v>0</v>
      </c>
      <c r="G847" s="72">
        <v>0</v>
      </c>
      <c r="H847" s="72">
        <v>0</v>
      </c>
    </row>
    <row r="848" spans="2:8" ht="12">
      <c r="B848" s="64">
        <v>842</v>
      </c>
      <c r="C848" s="64" t="s">
        <v>2692</v>
      </c>
      <c r="D848" s="66" t="s">
        <v>624</v>
      </c>
      <c r="E848" s="71">
        <v>0</v>
      </c>
      <c r="F848" s="71">
        <v>0</v>
      </c>
      <c r="G848" s="72">
        <v>0</v>
      </c>
      <c r="H848" s="72">
        <v>0</v>
      </c>
    </row>
    <row r="849" spans="2:8" ht="12">
      <c r="B849" s="64">
        <v>843</v>
      </c>
      <c r="C849" s="64" t="s">
        <v>2693</v>
      </c>
      <c r="D849" s="66" t="s">
        <v>2694</v>
      </c>
      <c r="E849" s="71">
        <v>0</v>
      </c>
      <c r="F849" s="71">
        <v>0</v>
      </c>
      <c r="G849" s="72">
        <v>0</v>
      </c>
      <c r="H849" s="72">
        <v>0</v>
      </c>
    </row>
    <row r="850" spans="2:8" ht="12">
      <c r="B850" s="64">
        <v>844</v>
      </c>
      <c r="C850" s="64" t="s">
        <v>2695</v>
      </c>
      <c r="D850" s="66" t="s">
        <v>1432</v>
      </c>
      <c r="E850" s="71">
        <v>0</v>
      </c>
      <c r="F850" s="71">
        <v>0</v>
      </c>
      <c r="G850" s="72">
        <v>0</v>
      </c>
      <c r="H850" s="72">
        <v>0</v>
      </c>
    </row>
    <row r="851" spans="2:8" ht="12">
      <c r="B851" s="64">
        <v>845</v>
      </c>
      <c r="C851" s="64" t="s">
        <v>1837</v>
      </c>
      <c r="D851" s="66" t="s">
        <v>2696</v>
      </c>
      <c r="E851" s="71">
        <v>0</v>
      </c>
      <c r="F851" s="71">
        <v>0</v>
      </c>
      <c r="G851" s="72">
        <v>0</v>
      </c>
      <c r="H851" s="72">
        <v>0</v>
      </c>
    </row>
    <row r="852" spans="2:8" ht="12">
      <c r="B852" s="64">
        <v>846</v>
      </c>
      <c r="C852" s="64" t="s">
        <v>1838</v>
      </c>
      <c r="D852" s="66" t="s">
        <v>2697</v>
      </c>
      <c r="E852" s="71">
        <v>0</v>
      </c>
      <c r="F852" s="71">
        <v>0</v>
      </c>
      <c r="G852" s="72">
        <v>0</v>
      </c>
      <c r="H852" s="72">
        <v>0</v>
      </c>
    </row>
    <row r="853" spans="2:8" ht="12">
      <c r="B853" s="64">
        <v>847</v>
      </c>
      <c r="C853" s="64" t="s">
        <v>1433</v>
      </c>
      <c r="D853" s="66" t="s">
        <v>1542</v>
      </c>
      <c r="E853" s="71">
        <v>0</v>
      </c>
      <c r="F853" s="71">
        <v>0</v>
      </c>
      <c r="G853" s="72">
        <v>0</v>
      </c>
      <c r="H853" s="72">
        <v>0</v>
      </c>
    </row>
    <row r="854" spans="2:8" ht="12">
      <c r="B854" s="64">
        <v>848</v>
      </c>
      <c r="C854" s="64" t="s">
        <v>2698</v>
      </c>
      <c r="D854" s="66" t="s">
        <v>2699</v>
      </c>
      <c r="E854" s="71">
        <v>0</v>
      </c>
      <c r="F854" s="71">
        <v>0</v>
      </c>
      <c r="G854" s="72">
        <v>0</v>
      </c>
      <c r="H854" s="72">
        <v>0</v>
      </c>
    </row>
    <row r="855" spans="2:8" ht="12">
      <c r="B855" s="64">
        <v>849</v>
      </c>
      <c r="C855" s="64" t="s">
        <v>625</v>
      </c>
      <c r="D855" s="66" t="s">
        <v>1928</v>
      </c>
      <c r="E855" s="71">
        <v>0</v>
      </c>
      <c r="F855" s="71">
        <v>0</v>
      </c>
      <c r="G855" s="72">
        <v>0</v>
      </c>
      <c r="H855" s="72">
        <v>0</v>
      </c>
    </row>
    <row r="856" spans="2:8" ht="12">
      <c r="B856" s="64">
        <v>850</v>
      </c>
      <c r="C856" s="64" t="s">
        <v>1434</v>
      </c>
      <c r="D856" s="66" t="s">
        <v>1435</v>
      </c>
      <c r="E856" s="71">
        <v>0</v>
      </c>
      <c r="F856" s="71">
        <v>0</v>
      </c>
      <c r="G856" s="72">
        <v>0</v>
      </c>
      <c r="H856" s="72">
        <v>0</v>
      </c>
    </row>
    <row r="857" spans="2:8" ht="12">
      <c r="B857" s="64">
        <v>851</v>
      </c>
      <c r="C857" s="64" t="s">
        <v>1543</v>
      </c>
      <c r="D857" s="66" t="s">
        <v>1436</v>
      </c>
      <c r="E857" s="71">
        <v>0</v>
      </c>
      <c r="F857" s="71">
        <v>0</v>
      </c>
      <c r="G857" s="72">
        <v>0</v>
      </c>
      <c r="H857" s="72">
        <v>0</v>
      </c>
    </row>
    <row r="858" spans="2:8" ht="12">
      <c r="B858" s="64">
        <v>852</v>
      </c>
      <c r="C858" s="64" t="s">
        <v>2700</v>
      </c>
      <c r="D858" s="66" t="s">
        <v>1839</v>
      </c>
      <c r="E858" s="71">
        <v>0</v>
      </c>
      <c r="F858" s="71">
        <v>0</v>
      </c>
      <c r="G858" s="72">
        <v>0</v>
      </c>
      <c r="H858" s="72">
        <v>0</v>
      </c>
    </row>
    <row r="859" spans="2:8" ht="12">
      <c r="B859" s="64">
        <v>853</v>
      </c>
      <c r="C859" s="64" t="s">
        <v>1605</v>
      </c>
      <c r="D859" s="66" t="s">
        <v>2701</v>
      </c>
      <c r="E859" s="71">
        <v>0</v>
      </c>
      <c r="F859" s="71">
        <v>0</v>
      </c>
      <c r="G859" s="72">
        <v>0</v>
      </c>
      <c r="H859" s="72">
        <v>0</v>
      </c>
    </row>
    <row r="860" spans="2:8" ht="12">
      <c r="B860" s="64">
        <v>854</v>
      </c>
      <c r="C860" s="64" t="s">
        <v>1893</v>
      </c>
      <c r="D860" s="66" t="s">
        <v>2702</v>
      </c>
      <c r="E860" s="71">
        <v>0</v>
      </c>
      <c r="F860" s="71">
        <v>0</v>
      </c>
      <c r="G860" s="72">
        <v>0</v>
      </c>
      <c r="H860" s="72">
        <v>0</v>
      </c>
    </row>
    <row r="861" spans="2:8" ht="12">
      <c r="B861" s="64">
        <v>855</v>
      </c>
      <c r="C861" s="64" t="s">
        <v>1137</v>
      </c>
      <c r="D861" s="66" t="s">
        <v>1544</v>
      </c>
      <c r="E861" s="71">
        <v>0</v>
      </c>
      <c r="F861" s="71">
        <v>0</v>
      </c>
      <c r="G861" s="72">
        <v>0</v>
      </c>
      <c r="H861" s="72">
        <v>0</v>
      </c>
    </row>
    <row r="862" spans="2:8" ht="12">
      <c r="B862" s="64">
        <v>856</v>
      </c>
      <c r="C862" s="64" t="s">
        <v>1840</v>
      </c>
      <c r="D862" s="66" t="s">
        <v>2703</v>
      </c>
      <c r="E862" s="71">
        <v>0</v>
      </c>
      <c r="F862" s="71">
        <v>0</v>
      </c>
      <c r="G862" s="72">
        <v>0</v>
      </c>
      <c r="H862" s="72">
        <v>0</v>
      </c>
    </row>
    <row r="863" spans="2:8" ht="12">
      <c r="B863" s="64">
        <v>857</v>
      </c>
      <c r="C863" s="64" t="s">
        <v>2704</v>
      </c>
      <c r="D863" s="66" t="s">
        <v>1929</v>
      </c>
      <c r="E863" s="71">
        <v>0</v>
      </c>
      <c r="F863" s="71">
        <v>0</v>
      </c>
      <c r="G863" s="72">
        <v>0</v>
      </c>
      <c r="H863" s="72">
        <v>0</v>
      </c>
    </row>
    <row r="864" spans="2:8" ht="12">
      <c r="B864" s="64">
        <v>858</v>
      </c>
      <c r="C864" s="64" t="s">
        <v>626</v>
      </c>
      <c r="D864" s="66" t="s">
        <v>1606</v>
      </c>
      <c r="E864" s="71">
        <v>0</v>
      </c>
      <c r="F864" s="71">
        <v>0</v>
      </c>
      <c r="G864" s="72">
        <v>0</v>
      </c>
      <c r="H864" s="72">
        <v>0</v>
      </c>
    </row>
    <row r="865" spans="2:8" ht="12">
      <c r="B865" s="64">
        <v>859</v>
      </c>
      <c r="C865" s="64" t="s">
        <v>1750</v>
      </c>
      <c r="D865" s="66" t="s">
        <v>2705</v>
      </c>
      <c r="E865" s="71">
        <v>0</v>
      </c>
      <c r="F865" s="71">
        <v>0</v>
      </c>
      <c r="G865" s="72">
        <v>0</v>
      </c>
      <c r="H865" s="72">
        <v>0</v>
      </c>
    </row>
    <row r="866" spans="2:8" ht="12">
      <c r="B866" s="64">
        <v>860</v>
      </c>
      <c r="C866" s="64" t="s">
        <v>2706</v>
      </c>
      <c r="D866" s="66" t="s">
        <v>1902</v>
      </c>
      <c r="E866" s="71">
        <v>0</v>
      </c>
      <c r="F866" s="71">
        <v>0</v>
      </c>
      <c r="G866" s="72">
        <v>0</v>
      </c>
      <c r="H866" s="72">
        <v>0</v>
      </c>
    </row>
    <row r="867" spans="2:8" ht="12">
      <c r="B867" s="64">
        <v>861</v>
      </c>
      <c r="C867" s="64" t="s">
        <v>2707</v>
      </c>
      <c r="D867" s="66" t="s">
        <v>2708</v>
      </c>
      <c r="E867" s="71">
        <v>0</v>
      </c>
      <c r="F867" s="71">
        <v>0</v>
      </c>
      <c r="G867" s="72">
        <v>0</v>
      </c>
      <c r="H867" s="72">
        <v>0</v>
      </c>
    </row>
    <row r="868" spans="2:8" ht="12">
      <c r="B868" s="64">
        <v>862</v>
      </c>
      <c r="C868" s="64" t="s">
        <v>1607</v>
      </c>
      <c r="D868" s="66" t="s">
        <v>2709</v>
      </c>
      <c r="E868" s="71">
        <v>0</v>
      </c>
      <c r="F868" s="71">
        <v>0</v>
      </c>
      <c r="G868" s="72">
        <v>0</v>
      </c>
      <c r="H868" s="72">
        <v>0</v>
      </c>
    </row>
    <row r="869" spans="2:8" ht="12">
      <c r="B869" s="64">
        <v>863</v>
      </c>
      <c r="C869" s="64" t="s">
        <v>2710</v>
      </c>
      <c r="D869" s="66" t="s">
        <v>2711</v>
      </c>
      <c r="E869" s="71">
        <v>0</v>
      </c>
      <c r="F869" s="71">
        <v>0</v>
      </c>
      <c r="G869" s="72">
        <v>0</v>
      </c>
      <c r="H869" s="72">
        <v>0</v>
      </c>
    </row>
    <row r="870" spans="2:8" ht="12">
      <c r="B870" s="64">
        <v>864</v>
      </c>
      <c r="C870" s="64" t="s">
        <v>1437</v>
      </c>
      <c r="D870" s="66" t="s">
        <v>2712</v>
      </c>
      <c r="E870" s="71">
        <v>0</v>
      </c>
      <c r="F870" s="71">
        <v>0</v>
      </c>
      <c r="G870" s="72">
        <v>0</v>
      </c>
      <c r="H870" s="72">
        <v>0</v>
      </c>
    </row>
    <row r="871" spans="2:8" ht="12">
      <c r="B871" s="64">
        <v>865</v>
      </c>
      <c r="C871" s="64" t="s">
        <v>2713</v>
      </c>
      <c r="D871" s="66" t="s">
        <v>1608</v>
      </c>
      <c r="E871" s="71">
        <v>0</v>
      </c>
      <c r="F871" s="71">
        <v>0</v>
      </c>
      <c r="G871" s="72">
        <v>0</v>
      </c>
      <c r="H871" s="72">
        <v>0</v>
      </c>
    </row>
    <row r="872" spans="2:8" ht="12">
      <c r="B872" s="64">
        <v>866</v>
      </c>
      <c r="C872" s="64" t="s">
        <v>2714</v>
      </c>
      <c r="D872" s="66" t="s">
        <v>2715</v>
      </c>
      <c r="E872" s="71">
        <v>0</v>
      </c>
      <c r="F872" s="71">
        <v>0</v>
      </c>
      <c r="G872" s="72">
        <v>0</v>
      </c>
      <c r="H872" s="72">
        <v>0</v>
      </c>
    </row>
    <row r="873" spans="2:8" ht="12">
      <c r="B873" s="64">
        <v>867</v>
      </c>
      <c r="C873" s="64" t="s">
        <v>1930</v>
      </c>
      <c r="D873" s="66" t="s">
        <v>2716</v>
      </c>
      <c r="E873" s="71">
        <v>0</v>
      </c>
      <c r="F873" s="71">
        <v>0</v>
      </c>
      <c r="G873" s="72">
        <v>0</v>
      </c>
      <c r="H873" s="72">
        <v>0</v>
      </c>
    </row>
    <row r="874" spans="2:8" ht="12">
      <c r="B874" s="64">
        <v>868</v>
      </c>
      <c r="C874" s="64" t="s">
        <v>1751</v>
      </c>
      <c r="D874" s="66" t="s">
        <v>2717</v>
      </c>
      <c r="E874" s="71">
        <v>0</v>
      </c>
      <c r="F874" s="71">
        <v>0</v>
      </c>
      <c r="G874" s="72">
        <v>0</v>
      </c>
      <c r="H874" s="72">
        <v>0</v>
      </c>
    </row>
    <row r="875" spans="2:8" ht="12">
      <c r="B875" s="64">
        <v>869</v>
      </c>
      <c r="C875" s="64" t="s">
        <v>2718</v>
      </c>
      <c r="D875" s="66" t="s">
        <v>2719</v>
      </c>
      <c r="E875" s="71">
        <v>0</v>
      </c>
      <c r="F875" s="71">
        <v>0</v>
      </c>
      <c r="G875" s="72">
        <v>0</v>
      </c>
      <c r="H875" s="72">
        <v>0</v>
      </c>
    </row>
    <row r="876" spans="2:8" ht="12">
      <c r="B876" s="64">
        <v>870</v>
      </c>
      <c r="C876" s="64" t="s">
        <v>2720</v>
      </c>
      <c r="D876" s="66" t="s">
        <v>2721</v>
      </c>
      <c r="E876" s="71">
        <v>0</v>
      </c>
      <c r="F876" s="71">
        <v>0</v>
      </c>
      <c r="G876" s="72">
        <v>0</v>
      </c>
      <c r="H876" s="72">
        <v>0</v>
      </c>
    </row>
    <row r="877" spans="2:8" ht="12">
      <c r="B877" s="64">
        <v>871</v>
      </c>
      <c r="C877" s="64" t="s">
        <v>1438</v>
      </c>
      <c r="D877" s="66" t="s">
        <v>627</v>
      </c>
      <c r="E877" s="71">
        <v>0</v>
      </c>
      <c r="F877" s="71">
        <v>0</v>
      </c>
      <c r="G877" s="72">
        <v>0</v>
      </c>
      <c r="H877" s="72">
        <v>0</v>
      </c>
    </row>
    <row r="878" spans="2:8" ht="12">
      <c r="B878" s="64">
        <v>872</v>
      </c>
      <c r="C878" s="64" t="s">
        <v>1439</v>
      </c>
      <c r="D878" s="66" t="s">
        <v>1609</v>
      </c>
      <c r="E878" s="71">
        <v>0</v>
      </c>
      <c r="F878" s="71">
        <v>0</v>
      </c>
      <c r="G878" s="72">
        <v>0</v>
      </c>
      <c r="H878" s="72">
        <v>0</v>
      </c>
    </row>
    <row r="879" spans="2:8" ht="12">
      <c r="B879" s="64">
        <v>873</v>
      </c>
      <c r="C879" s="64" t="s">
        <v>2722</v>
      </c>
      <c r="D879" s="66" t="s">
        <v>1545</v>
      </c>
      <c r="E879" s="71">
        <v>0</v>
      </c>
      <c r="F879" s="71">
        <v>0</v>
      </c>
      <c r="G879" s="72">
        <v>0</v>
      </c>
      <c r="H879" s="72">
        <v>0</v>
      </c>
    </row>
    <row r="880" spans="2:8" ht="12">
      <c r="B880" s="64">
        <v>874</v>
      </c>
      <c r="C880" s="64" t="s">
        <v>1917</v>
      </c>
      <c r="D880" s="66" t="s">
        <v>1138</v>
      </c>
      <c r="E880" s="71">
        <v>0</v>
      </c>
      <c r="F880" s="71">
        <v>0</v>
      </c>
      <c r="G880" s="72">
        <v>0</v>
      </c>
      <c r="H880" s="72">
        <v>0</v>
      </c>
    </row>
    <row r="881" spans="2:8" ht="12">
      <c r="B881" s="64">
        <v>875</v>
      </c>
      <c r="C881" s="64" t="s">
        <v>1685</v>
      </c>
      <c r="D881" s="66" t="s">
        <v>1610</v>
      </c>
      <c r="E881" s="71">
        <v>0</v>
      </c>
      <c r="F881" s="71">
        <v>0</v>
      </c>
      <c r="G881" s="72">
        <v>0</v>
      </c>
      <c r="H881" s="72">
        <v>0</v>
      </c>
    </row>
    <row r="882" spans="2:8" ht="12">
      <c r="B882" s="64">
        <v>876</v>
      </c>
      <c r="C882" s="64" t="s">
        <v>2723</v>
      </c>
      <c r="D882" s="66" t="s">
        <v>1611</v>
      </c>
      <c r="E882" s="71">
        <v>0</v>
      </c>
      <c r="F882" s="71">
        <v>0</v>
      </c>
      <c r="G882" s="72">
        <v>0</v>
      </c>
      <c r="H882" s="72">
        <v>0</v>
      </c>
    </row>
    <row r="883" spans="2:8" ht="12">
      <c r="B883" s="64">
        <v>877</v>
      </c>
      <c r="C883" s="64" t="s">
        <v>1440</v>
      </c>
      <c r="D883" s="66" t="s">
        <v>2724</v>
      </c>
      <c r="E883" s="71">
        <v>0</v>
      </c>
      <c r="F883" s="71">
        <v>0</v>
      </c>
      <c r="G883" s="72">
        <v>0</v>
      </c>
      <c r="H883" s="72">
        <v>0</v>
      </c>
    </row>
    <row r="884" spans="2:8" ht="12">
      <c r="B884" s="64">
        <v>878</v>
      </c>
      <c r="C884" s="64" t="s">
        <v>1441</v>
      </c>
      <c r="D884" s="66" t="s">
        <v>1879</v>
      </c>
      <c r="E884" s="71">
        <v>0</v>
      </c>
      <c r="F884" s="71">
        <v>0</v>
      </c>
      <c r="G884" s="72">
        <v>0</v>
      </c>
      <c r="H884" s="72">
        <v>0</v>
      </c>
    </row>
    <row r="885" spans="2:8" ht="12">
      <c r="B885" s="64">
        <v>879</v>
      </c>
      <c r="C885" s="64" t="s">
        <v>2725</v>
      </c>
      <c r="D885" s="66" t="s">
        <v>628</v>
      </c>
      <c r="E885" s="71">
        <v>0</v>
      </c>
      <c r="F885" s="71">
        <v>0</v>
      </c>
      <c r="G885" s="72">
        <v>0</v>
      </c>
      <c r="H885" s="72">
        <v>0</v>
      </c>
    </row>
    <row r="886" spans="2:8" ht="12">
      <c r="B886" s="64">
        <v>880</v>
      </c>
      <c r="C886" s="64" t="s">
        <v>2726</v>
      </c>
      <c r="D886" s="66" t="s">
        <v>629</v>
      </c>
      <c r="E886" s="71">
        <v>0</v>
      </c>
      <c r="F886" s="71">
        <v>0</v>
      </c>
      <c r="G886" s="72">
        <v>0</v>
      </c>
      <c r="H886" s="72">
        <v>0</v>
      </c>
    </row>
    <row r="887" spans="2:8" ht="12">
      <c r="B887" s="64">
        <v>881</v>
      </c>
      <c r="C887" s="64" t="s">
        <v>2727</v>
      </c>
      <c r="D887" s="66" t="s">
        <v>2728</v>
      </c>
      <c r="E887" s="71">
        <v>0</v>
      </c>
      <c r="F887" s="71">
        <v>0</v>
      </c>
      <c r="G887" s="72">
        <v>0</v>
      </c>
      <c r="H887" s="72">
        <v>0</v>
      </c>
    </row>
    <row r="888" spans="2:8" ht="12">
      <c r="B888" s="64">
        <v>882</v>
      </c>
      <c r="C888" s="64" t="s">
        <v>1612</v>
      </c>
      <c r="D888" s="66" t="s">
        <v>2729</v>
      </c>
      <c r="E888" s="71">
        <v>0</v>
      </c>
      <c r="F888" s="71">
        <v>0</v>
      </c>
      <c r="G888" s="72">
        <v>0</v>
      </c>
      <c r="H888" s="72">
        <v>0</v>
      </c>
    </row>
    <row r="889" spans="2:8" ht="12">
      <c r="B889" s="64">
        <v>883</v>
      </c>
      <c r="C889" s="64" t="s">
        <v>2730</v>
      </c>
      <c r="D889" s="66" t="s">
        <v>2731</v>
      </c>
      <c r="E889" s="71">
        <v>0</v>
      </c>
      <c r="F889" s="71">
        <v>0</v>
      </c>
      <c r="G889" s="72">
        <v>0</v>
      </c>
      <c r="H889" s="72">
        <v>0</v>
      </c>
    </row>
    <row r="890" spans="2:8" ht="12">
      <c r="B890" s="64">
        <v>884</v>
      </c>
      <c r="C890" s="64" t="s">
        <v>1686</v>
      </c>
      <c r="D890" s="66" t="s">
        <v>2732</v>
      </c>
      <c r="E890" s="71">
        <v>0</v>
      </c>
      <c r="F890" s="71">
        <v>0</v>
      </c>
      <c r="G890" s="72">
        <v>0</v>
      </c>
      <c r="H890" s="72">
        <v>0</v>
      </c>
    </row>
    <row r="891" spans="2:8" ht="12">
      <c r="B891" s="64">
        <v>885</v>
      </c>
      <c r="C891" s="64" t="s">
        <v>1613</v>
      </c>
      <c r="D891" s="66" t="s">
        <v>630</v>
      </c>
      <c r="E891" s="71">
        <v>0</v>
      </c>
      <c r="F891" s="71">
        <v>0</v>
      </c>
      <c r="G891" s="72">
        <v>0</v>
      </c>
      <c r="H891" s="72">
        <v>0</v>
      </c>
    </row>
    <row r="892" spans="2:8" ht="12">
      <c r="B892" s="64">
        <v>886</v>
      </c>
      <c r="C892" s="64" t="s">
        <v>1841</v>
      </c>
      <c r="D892" s="66" t="s">
        <v>1614</v>
      </c>
      <c r="E892" s="71">
        <v>0</v>
      </c>
      <c r="F892" s="71">
        <v>0</v>
      </c>
      <c r="G892" s="72">
        <v>0</v>
      </c>
      <c r="H892" s="72">
        <v>0</v>
      </c>
    </row>
    <row r="893" spans="2:8" ht="12">
      <c r="B893" s="64">
        <v>887</v>
      </c>
      <c r="C893" s="64" t="s">
        <v>1894</v>
      </c>
      <c r="D893" s="66" t="s">
        <v>1860</v>
      </c>
      <c r="E893" s="71">
        <v>0</v>
      </c>
      <c r="F893" s="71">
        <v>0</v>
      </c>
      <c r="G893" s="72">
        <v>0</v>
      </c>
      <c r="H893" s="72">
        <v>0</v>
      </c>
    </row>
    <row r="894" spans="2:8" ht="12">
      <c r="B894" s="64">
        <v>888</v>
      </c>
      <c r="C894" s="64" t="s">
        <v>1895</v>
      </c>
      <c r="D894" s="66" t="s">
        <v>1442</v>
      </c>
      <c r="E894" s="71">
        <v>0</v>
      </c>
      <c r="F894" s="71">
        <v>0</v>
      </c>
      <c r="G894" s="72">
        <v>0</v>
      </c>
      <c r="H894" s="72">
        <v>0</v>
      </c>
    </row>
    <row r="895" spans="2:8" ht="12">
      <c r="B895" s="64">
        <v>889</v>
      </c>
      <c r="C895" s="64" t="s">
        <v>2733</v>
      </c>
      <c r="D895" s="66" t="s">
        <v>2734</v>
      </c>
      <c r="E895" s="71">
        <v>0</v>
      </c>
      <c r="F895" s="71">
        <v>0</v>
      </c>
      <c r="G895" s="72">
        <v>0</v>
      </c>
      <c r="H895" s="72">
        <v>0</v>
      </c>
    </row>
    <row r="896" spans="2:8" ht="12">
      <c r="B896" s="64">
        <v>890</v>
      </c>
      <c r="C896" s="64" t="s">
        <v>1931</v>
      </c>
      <c r="D896" s="66" t="s">
        <v>1903</v>
      </c>
      <c r="E896" s="71">
        <v>0</v>
      </c>
      <c r="F896" s="71">
        <v>0</v>
      </c>
      <c r="G896" s="72">
        <v>0</v>
      </c>
      <c r="H896" s="72">
        <v>0</v>
      </c>
    </row>
    <row r="897" spans="2:8" ht="12">
      <c r="B897" s="64">
        <v>891</v>
      </c>
      <c r="C897" s="64" t="s">
        <v>1546</v>
      </c>
      <c r="D897" s="66" t="s">
        <v>2735</v>
      </c>
      <c r="E897" s="71">
        <v>0</v>
      </c>
      <c r="F897" s="71">
        <v>0</v>
      </c>
      <c r="G897" s="72">
        <v>0</v>
      </c>
      <c r="H897" s="72">
        <v>0</v>
      </c>
    </row>
    <row r="898" spans="2:8" ht="12">
      <c r="B898" s="64">
        <v>892</v>
      </c>
      <c r="C898" s="64" t="s">
        <v>2736</v>
      </c>
      <c r="D898" s="66" t="s">
        <v>631</v>
      </c>
      <c r="E898" s="71">
        <v>0</v>
      </c>
      <c r="F898" s="71">
        <v>0</v>
      </c>
      <c r="G898" s="72">
        <v>0</v>
      </c>
      <c r="H898" s="72">
        <v>0</v>
      </c>
    </row>
    <row r="899" spans="2:8" ht="12">
      <c r="B899" s="64">
        <v>893</v>
      </c>
      <c r="C899" s="64" t="s">
        <v>1880</v>
      </c>
      <c r="D899" s="66" t="s">
        <v>2737</v>
      </c>
      <c r="E899" s="71">
        <v>0</v>
      </c>
      <c r="F899" s="71">
        <v>0</v>
      </c>
      <c r="G899" s="72">
        <v>0</v>
      </c>
      <c r="H899" s="72">
        <v>0</v>
      </c>
    </row>
    <row r="900" spans="2:8" ht="12">
      <c r="B900" s="64">
        <v>894</v>
      </c>
      <c r="C900" s="64" t="s">
        <v>2738</v>
      </c>
      <c r="D900" s="66" t="s">
        <v>1615</v>
      </c>
      <c r="E900" s="71">
        <v>0</v>
      </c>
      <c r="F900" s="71">
        <v>0</v>
      </c>
      <c r="G900" s="72">
        <v>0</v>
      </c>
      <c r="H900" s="72">
        <v>0</v>
      </c>
    </row>
    <row r="901" spans="2:8" ht="12">
      <c r="B901" s="64">
        <v>895</v>
      </c>
      <c r="C901" s="64" t="s">
        <v>1896</v>
      </c>
      <c r="D901" s="66" t="s">
        <v>2739</v>
      </c>
      <c r="E901" s="71">
        <v>0</v>
      </c>
      <c r="F901" s="71">
        <v>0</v>
      </c>
      <c r="G901" s="72">
        <v>0</v>
      </c>
      <c r="H901" s="72">
        <v>0</v>
      </c>
    </row>
    <row r="902" spans="2:8" ht="12">
      <c r="B902" s="64">
        <v>896</v>
      </c>
      <c r="C902" s="64" t="s">
        <v>1616</v>
      </c>
      <c r="D902" s="66" t="s">
        <v>2740</v>
      </c>
      <c r="E902" s="71">
        <v>0</v>
      </c>
      <c r="F902" s="71">
        <v>0</v>
      </c>
      <c r="G902" s="72">
        <v>0</v>
      </c>
      <c r="H902" s="72">
        <v>0</v>
      </c>
    </row>
    <row r="903" spans="2:8" ht="12">
      <c r="B903" s="64">
        <v>897</v>
      </c>
      <c r="C903" s="64" t="s">
        <v>1797</v>
      </c>
      <c r="D903" s="66" t="s">
        <v>1752</v>
      </c>
      <c r="E903" s="71">
        <v>0</v>
      </c>
      <c r="F903" s="71">
        <v>0</v>
      </c>
      <c r="G903" s="72">
        <v>0</v>
      </c>
      <c r="H903" s="72">
        <v>0</v>
      </c>
    </row>
    <row r="904" spans="2:8" ht="12">
      <c r="B904" s="64">
        <v>898</v>
      </c>
      <c r="C904" s="64" t="s">
        <v>2741</v>
      </c>
      <c r="D904" s="66" t="s">
        <v>1842</v>
      </c>
      <c r="E904" s="71">
        <v>0</v>
      </c>
      <c r="F904" s="71">
        <v>0</v>
      </c>
      <c r="G904" s="72">
        <v>0</v>
      </c>
      <c r="H904" s="72">
        <v>0</v>
      </c>
    </row>
    <row r="905" spans="2:8" ht="12">
      <c r="B905" s="64">
        <v>899</v>
      </c>
      <c r="C905" s="64" t="s">
        <v>1547</v>
      </c>
      <c r="D905" s="66" t="s">
        <v>1139</v>
      </c>
      <c r="E905" s="71">
        <v>0</v>
      </c>
      <c r="F905" s="71">
        <v>0</v>
      </c>
      <c r="G905" s="72">
        <v>0</v>
      </c>
      <c r="H905" s="72">
        <v>0</v>
      </c>
    </row>
    <row r="906" spans="2:8" ht="12">
      <c r="B906" s="64">
        <v>900</v>
      </c>
      <c r="C906" s="64" t="s">
        <v>1443</v>
      </c>
      <c r="D906" s="66" t="s">
        <v>1140</v>
      </c>
      <c r="E906" s="71">
        <v>0</v>
      </c>
      <c r="F906" s="71">
        <v>0</v>
      </c>
      <c r="G906" s="72">
        <v>0</v>
      </c>
      <c r="H906" s="72">
        <v>0</v>
      </c>
    </row>
    <row r="907" spans="2:8" ht="12">
      <c r="B907" s="64">
        <v>901</v>
      </c>
      <c r="C907" s="64" t="s">
        <v>1548</v>
      </c>
      <c r="D907" s="66" t="s">
        <v>1444</v>
      </c>
      <c r="E907" s="71">
        <v>0</v>
      </c>
      <c r="F907" s="71">
        <v>0</v>
      </c>
      <c r="G907" s="72">
        <v>0</v>
      </c>
      <c r="H907" s="72">
        <v>0</v>
      </c>
    </row>
    <row r="908" spans="2:8" ht="12">
      <c r="B908" s="64">
        <v>902</v>
      </c>
      <c r="C908" s="64" t="s">
        <v>1141</v>
      </c>
      <c r="D908" s="66" t="s">
        <v>1445</v>
      </c>
      <c r="E908" s="71">
        <v>0</v>
      </c>
      <c r="F908" s="71">
        <v>0</v>
      </c>
      <c r="G908" s="72">
        <v>0</v>
      </c>
      <c r="H908" s="72">
        <v>0</v>
      </c>
    </row>
    <row r="909" spans="2:8" ht="12">
      <c r="B909" s="64">
        <v>903</v>
      </c>
      <c r="C909" s="64" t="s">
        <v>2742</v>
      </c>
      <c r="D909" s="66" t="s">
        <v>632</v>
      </c>
      <c r="E909" s="71">
        <v>0</v>
      </c>
      <c r="F909" s="71">
        <v>0</v>
      </c>
      <c r="G909" s="72">
        <v>0</v>
      </c>
      <c r="H909" s="72">
        <v>0</v>
      </c>
    </row>
    <row r="910" spans="2:8" ht="12">
      <c r="B910" s="64">
        <v>904</v>
      </c>
      <c r="C910" s="64" t="s">
        <v>1446</v>
      </c>
      <c r="D910" s="66" t="s">
        <v>2743</v>
      </c>
      <c r="E910" s="71">
        <v>0</v>
      </c>
      <c r="F910" s="71">
        <v>0</v>
      </c>
      <c r="G910" s="72">
        <v>0</v>
      </c>
      <c r="H910" s="72">
        <v>0</v>
      </c>
    </row>
    <row r="911" spans="2:8" ht="12">
      <c r="B911" s="64">
        <v>905</v>
      </c>
      <c r="C911" s="64" t="s">
        <v>1881</v>
      </c>
      <c r="D911" s="66" t="s">
        <v>1447</v>
      </c>
      <c r="E911" s="71">
        <v>0</v>
      </c>
      <c r="F911" s="71">
        <v>0</v>
      </c>
      <c r="G911" s="72">
        <v>0</v>
      </c>
      <c r="H911" s="72">
        <v>0</v>
      </c>
    </row>
    <row r="912" spans="2:8" ht="12">
      <c r="B912" s="64">
        <v>906</v>
      </c>
      <c r="C912" s="64" t="s">
        <v>1448</v>
      </c>
      <c r="D912" s="66" t="s">
        <v>2744</v>
      </c>
      <c r="E912" s="71">
        <v>0</v>
      </c>
      <c r="F912" s="71">
        <v>0</v>
      </c>
      <c r="G912" s="72">
        <v>0</v>
      </c>
      <c r="H912" s="72">
        <v>0</v>
      </c>
    </row>
    <row r="913" spans="2:8" ht="12">
      <c r="B913" s="64">
        <v>907</v>
      </c>
      <c r="C913" s="64" t="s">
        <v>1904</v>
      </c>
      <c r="D913" s="66" t="s">
        <v>1142</v>
      </c>
      <c r="E913" s="71">
        <v>0</v>
      </c>
      <c r="F913" s="71">
        <v>0</v>
      </c>
      <c r="G913" s="72">
        <v>0</v>
      </c>
      <c r="H913" s="72">
        <v>0</v>
      </c>
    </row>
    <row r="914" spans="2:8" ht="12">
      <c r="B914" s="64">
        <v>908</v>
      </c>
      <c r="C914" s="64" t="s">
        <v>1617</v>
      </c>
      <c r="D914" s="66" t="s">
        <v>1449</v>
      </c>
      <c r="E914" s="71">
        <v>0</v>
      </c>
      <c r="F914" s="71">
        <v>0</v>
      </c>
      <c r="G914" s="72">
        <v>0</v>
      </c>
      <c r="H914" s="72">
        <v>0</v>
      </c>
    </row>
    <row r="915" spans="2:8" ht="12">
      <c r="B915" s="64">
        <v>909</v>
      </c>
      <c r="C915" s="64" t="s">
        <v>2745</v>
      </c>
      <c r="D915" s="66" t="s">
        <v>1143</v>
      </c>
      <c r="E915" s="71">
        <v>0</v>
      </c>
      <c r="F915" s="71">
        <v>0</v>
      </c>
      <c r="G915" s="72">
        <v>0</v>
      </c>
      <c r="H915" s="72">
        <v>0</v>
      </c>
    </row>
    <row r="916" spans="2:8" ht="12">
      <c r="B916" s="64">
        <v>910</v>
      </c>
      <c r="C916" s="64" t="s">
        <v>1450</v>
      </c>
      <c r="D916" s="66" t="s">
        <v>1144</v>
      </c>
      <c r="E916" s="71">
        <v>0</v>
      </c>
      <c r="F916" s="71">
        <v>0</v>
      </c>
      <c r="G916" s="72">
        <v>0</v>
      </c>
      <c r="H916" s="72">
        <v>0</v>
      </c>
    </row>
    <row r="917" spans="2:8" ht="12">
      <c r="B917" s="64">
        <v>911</v>
      </c>
      <c r="C917" s="64" t="s">
        <v>633</v>
      </c>
      <c r="D917" s="66" t="s">
        <v>1618</v>
      </c>
      <c r="E917" s="71">
        <v>0</v>
      </c>
      <c r="F917" s="71">
        <v>0</v>
      </c>
      <c r="G917" s="72">
        <v>0</v>
      </c>
      <c r="H917" s="72">
        <v>0</v>
      </c>
    </row>
    <row r="918" spans="2:8" ht="12">
      <c r="B918" s="64">
        <v>912</v>
      </c>
      <c r="C918" s="64" t="s">
        <v>2746</v>
      </c>
      <c r="D918" s="66" t="s">
        <v>1145</v>
      </c>
      <c r="E918" s="71">
        <v>0</v>
      </c>
      <c r="F918" s="71">
        <v>0</v>
      </c>
      <c r="G918" s="72">
        <v>0</v>
      </c>
      <c r="H918" s="72">
        <v>0</v>
      </c>
    </row>
    <row r="919" spans="2:8" ht="12">
      <c r="B919" s="64">
        <v>913</v>
      </c>
      <c r="C919" s="64" t="s">
        <v>1753</v>
      </c>
      <c r="D919" s="66" t="s">
        <v>1619</v>
      </c>
      <c r="E919" s="71">
        <v>0</v>
      </c>
      <c r="F919" s="71">
        <v>0</v>
      </c>
      <c r="G919" s="72">
        <v>0</v>
      </c>
      <c r="H919" s="72">
        <v>0</v>
      </c>
    </row>
    <row r="920" spans="2:8" ht="12">
      <c r="B920" s="64">
        <v>914</v>
      </c>
      <c r="C920" s="64" t="s">
        <v>1754</v>
      </c>
      <c r="D920" s="66" t="s">
        <v>2747</v>
      </c>
      <c r="E920" s="71">
        <v>0</v>
      </c>
      <c r="F920" s="71">
        <v>0</v>
      </c>
      <c r="G920" s="72">
        <v>0</v>
      </c>
      <c r="H920" s="72">
        <v>0</v>
      </c>
    </row>
    <row r="921" spans="2:8" ht="12">
      <c r="B921" s="64">
        <v>915</v>
      </c>
      <c r="C921" s="64" t="s">
        <v>1146</v>
      </c>
      <c r="D921" s="66" t="s">
        <v>2748</v>
      </c>
      <c r="E921" s="71">
        <v>0</v>
      </c>
      <c r="F921" s="71">
        <v>0</v>
      </c>
      <c r="G921" s="72">
        <v>0</v>
      </c>
      <c r="H921" s="72">
        <v>0</v>
      </c>
    </row>
    <row r="922" spans="2:8" ht="12">
      <c r="B922" s="64">
        <v>916</v>
      </c>
      <c r="C922" s="64" t="s">
        <v>634</v>
      </c>
      <c r="D922" s="66" t="s">
        <v>2749</v>
      </c>
      <c r="E922" s="71">
        <v>0</v>
      </c>
      <c r="F922" s="71">
        <v>0</v>
      </c>
      <c r="G922" s="72">
        <v>0</v>
      </c>
      <c r="H922" s="72">
        <v>0</v>
      </c>
    </row>
    <row r="923" spans="2:8" ht="12">
      <c r="B923" s="64">
        <v>917</v>
      </c>
      <c r="C923" s="64" t="s">
        <v>1451</v>
      </c>
      <c r="D923" s="66" t="s">
        <v>1147</v>
      </c>
      <c r="E923" s="71">
        <v>0</v>
      </c>
      <c r="F923" s="71">
        <v>0</v>
      </c>
      <c r="G923" s="72">
        <v>0</v>
      </c>
      <c r="H923" s="72">
        <v>0</v>
      </c>
    </row>
    <row r="924" spans="2:8" ht="12">
      <c r="B924" s="64">
        <v>918</v>
      </c>
      <c r="C924" s="64" t="s">
        <v>2750</v>
      </c>
      <c r="D924" s="66" t="s">
        <v>2751</v>
      </c>
      <c r="E924" s="71">
        <v>0</v>
      </c>
      <c r="F924" s="71">
        <v>0</v>
      </c>
      <c r="G924" s="72">
        <v>0</v>
      </c>
      <c r="H924" s="72">
        <v>0</v>
      </c>
    </row>
    <row r="925" spans="2:8" ht="12">
      <c r="B925" s="64">
        <v>919</v>
      </c>
      <c r="C925" s="64" t="s">
        <v>2752</v>
      </c>
      <c r="D925" s="66" t="s">
        <v>1148</v>
      </c>
      <c r="E925" s="71">
        <v>0</v>
      </c>
      <c r="F925" s="71">
        <v>0</v>
      </c>
      <c r="G925" s="72">
        <v>0</v>
      </c>
      <c r="H925" s="72">
        <v>0</v>
      </c>
    </row>
    <row r="926" spans="2:8" ht="12">
      <c r="B926" s="64">
        <v>920</v>
      </c>
      <c r="C926" s="64" t="s">
        <v>2753</v>
      </c>
      <c r="D926" s="66" t="s">
        <v>635</v>
      </c>
      <c r="E926" s="71">
        <v>0</v>
      </c>
      <c r="F926" s="71">
        <v>0</v>
      </c>
      <c r="G926" s="72">
        <v>0</v>
      </c>
      <c r="H926" s="72">
        <v>0</v>
      </c>
    </row>
    <row r="927" spans="2:8" ht="12">
      <c r="B927" s="64">
        <v>921</v>
      </c>
      <c r="C927" s="64" t="s">
        <v>1149</v>
      </c>
      <c r="D927" s="66" t="s">
        <v>1452</v>
      </c>
      <c r="E927" s="71">
        <v>0</v>
      </c>
      <c r="F927" s="71">
        <v>0</v>
      </c>
      <c r="G927" s="72">
        <v>0</v>
      </c>
      <c r="H927" s="72">
        <v>0</v>
      </c>
    </row>
    <row r="928" spans="2:8" ht="12">
      <c r="B928" s="64">
        <v>922</v>
      </c>
      <c r="C928" s="64" t="s">
        <v>2754</v>
      </c>
      <c r="D928" s="66" t="s">
        <v>1938</v>
      </c>
      <c r="E928" s="71">
        <v>0</v>
      </c>
      <c r="F928" s="71">
        <v>0</v>
      </c>
      <c r="G928" s="72">
        <v>0</v>
      </c>
      <c r="H928" s="72">
        <v>0</v>
      </c>
    </row>
    <row r="929" spans="2:8" ht="12">
      <c r="B929" s="64">
        <v>923</v>
      </c>
      <c r="C929" s="64" t="s">
        <v>2755</v>
      </c>
      <c r="D929" s="66" t="s">
        <v>1150</v>
      </c>
      <c r="E929" s="71">
        <v>0</v>
      </c>
      <c r="F929" s="71">
        <v>0</v>
      </c>
      <c r="G929" s="72">
        <v>0</v>
      </c>
      <c r="H929" s="72">
        <v>0</v>
      </c>
    </row>
    <row r="930" spans="2:8" ht="12">
      <c r="B930" s="64">
        <v>924</v>
      </c>
      <c r="C930" s="64" t="s">
        <v>1453</v>
      </c>
      <c r="D930" s="66" t="s">
        <v>1882</v>
      </c>
      <c r="E930" s="71">
        <v>0</v>
      </c>
      <c r="F930" s="71">
        <v>0</v>
      </c>
      <c r="G930" s="72">
        <v>0</v>
      </c>
      <c r="H930" s="72">
        <v>0</v>
      </c>
    </row>
    <row r="931" spans="2:8" ht="12">
      <c r="B931" s="64">
        <v>925</v>
      </c>
      <c r="C931" s="64" t="s">
        <v>2756</v>
      </c>
      <c r="D931" s="66" t="s">
        <v>2757</v>
      </c>
      <c r="E931" s="71">
        <v>0</v>
      </c>
      <c r="F931" s="71">
        <v>0</v>
      </c>
      <c r="G931" s="72">
        <v>0</v>
      </c>
      <c r="H931" s="72">
        <v>0</v>
      </c>
    </row>
    <row r="932" spans="2:8" ht="12">
      <c r="B932" s="64">
        <v>926</v>
      </c>
      <c r="C932" s="64" t="s">
        <v>2758</v>
      </c>
      <c r="D932" s="66" t="s">
        <v>1151</v>
      </c>
      <c r="E932" s="71">
        <v>0</v>
      </c>
      <c r="F932" s="71">
        <v>0</v>
      </c>
      <c r="G932" s="72">
        <v>0</v>
      </c>
      <c r="H932" s="72">
        <v>0</v>
      </c>
    </row>
    <row r="933" spans="2:8" ht="12">
      <c r="B933" s="64">
        <v>927</v>
      </c>
      <c r="C933" s="64" t="s">
        <v>1152</v>
      </c>
      <c r="D933" s="66" t="s">
        <v>1153</v>
      </c>
      <c r="E933" s="71">
        <v>0</v>
      </c>
      <c r="F933" s="71">
        <v>0</v>
      </c>
      <c r="G933" s="72">
        <v>0</v>
      </c>
      <c r="H933" s="72">
        <v>0</v>
      </c>
    </row>
    <row r="934" spans="2:8" ht="12">
      <c r="B934" s="64">
        <v>928</v>
      </c>
      <c r="C934" s="64" t="s">
        <v>1620</v>
      </c>
      <c r="D934" s="66" t="s">
        <v>1454</v>
      </c>
      <c r="E934" s="71">
        <v>0</v>
      </c>
      <c r="F934" s="71">
        <v>0</v>
      </c>
      <c r="G934" s="72">
        <v>0</v>
      </c>
      <c r="H934" s="72">
        <v>0</v>
      </c>
    </row>
    <row r="935" spans="2:8" ht="12">
      <c r="B935" s="64">
        <v>929</v>
      </c>
      <c r="C935" s="64" t="s">
        <v>1455</v>
      </c>
      <c r="D935" s="66" t="s">
        <v>1154</v>
      </c>
      <c r="E935" s="71">
        <v>0</v>
      </c>
      <c r="F935" s="71">
        <v>0</v>
      </c>
      <c r="G935" s="72">
        <v>0</v>
      </c>
      <c r="H935" s="72">
        <v>0</v>
      </c>
    </row>
    <row r="936" spans="2:8" ht="12">
      <c r="B936" s="64">
        <v>930</v>
      </c>
      <c r="C936" s="64" t="s">
        <v>2759</v>
      </c>
      <c r="D936" s="66" t="s">
        <v>2760</v>
      </c>
      <c r="E936" s="71">
        <v>0</v>
      </c>
      <c r="F936" s="71">
        <v>0</v>
      </c>
      <c r="G936" s="72">
        <v>0</v>
      </c>
      <c r="H936" s="72">
        <v>0</v>
      </c>
    </row>
    <row r="937" spans="2:8" ht="12">
      <c r="B937" s="64">
        <v>931</v>
      </c>
      <c r="C937" s="64" t="s">
        <v>1155</v>
      </c>
      <c r="D937" s="66" t="s">
        <v>1621</v>
      </c>
      <c r="E937" s="71">
        <v>0</v>
      </c>
      <c r="F937" s="71">
        <v>0</v>
      </c>
      <c r="G937" s="72">
        <v>0</v>
      </c>
      <c r="H937" s="72">
        <v>0</v>
      </c>
    </row>
    <row r="938" spans="2:8" ht="12">
      <c r="B938" s="64">
        <v>932</v>
      </c>
      <c r="C938" s="64" t="s">
        <v>1755</v>
      </c>
      <c r="D938" s="66" t="s">
        <v>1156</v>
      </c>
      <c r="E938" s="71">
        <v>0</v>
      </c>
      <c r="F938" s="71">
        <v>0</v>
      </c>
      <c r="G938" s="72">
        <v>0</v>
      </c>
      <c r="H938" s="72">
        <v>0</v>
      </c>
    </row>
    <row r="939" spans="2:8" ht="12">
      <c r="B939" s="64">
        <v>933</v>
      </c>
      <c r="C939" s="64" t="s">
        <v>1861</v>
      </c>
      <c r="D939" s="66" t="s">
        <v>1622</v>
      </c>
      <c r="E939" s="71">
        <v>0</v>
      </c>
      <c r="F939" s="71">
        <v>0</v>
      </c>
      <c r="G939" s="72">
        <v>0</v>
      </c>
      <c r="H939" s="72">
        <v>0</v>
      </c>
    </row>
    <row r="940" spans="2:8" ht="12">
      <c r="B940" s="64">
        <v>934</v>
      </c>
      <c r="C940" s="64" t="s">
        <v>1818</v>
      </c>
      <c r="D940" s="66" t="s">
        <v>1157</v>
      </c>
      <c r="E940" s="71">
        <v>0</v>
      </c>
      <c r="F940" s="71">
        <v>0</v>
      </c>
      <c r="G940" s="72">
        <v>0</v>
      </c>
      <c r="H940" s="72">
        <v>0</v>
      </c>
    </row>
    <row r="941" spans="2:8" ht="12">
      <c r="B941" s="64">
        <v>935</v>
      </c>
      <c r="C941" s="64" t="s">
        <v>1549</v>
      </c>
      <c r="D941" s="66" t="s">
        <v>1550</v>
      </c>
      <c r="E941" s="71">
        <v>0</v>
      </c>
      <c r="F941" s="71">
        <v>0</v>
      </c>
      <c r="G941" s="72">
        <v>0</v>
      </c>
      <c r="H941" s="72">
        <v>0</v>
      </c>
    </row>
    <row r="942" spans="2:8" ht="12">
      <c r="B942" s="64">
        <v>936</v>
      </c>
      <c r="C942" s="64" t="s">
        <v>1158</v>
      </c>
      <c r="D942" s="66" t="s">
        <v>1159</v>
      </c>
      <c r="E942" s="71">
        <v>0</v>
      </c>
      <c r="F942" s="71">
        <v>0</v>
      </c>
      <c r="G942" s="72">
        <v>0</v>
      </c>
      <c r="H942" s="72">
        <v>0</v>
      </c>
    </row>
    <row r="943" spans="2:8" ht="12">
      <c r="B943" s="64">
        <v>937</v>
      </c>
      <c r="C943" s="64" t="s">
        <v>1160</v>
      </c>
      <c r="D943" s="66" t="s">
        <v>1161</v>
      </c>
      <c r="E943" s="71">
        <v>0</v>
      </c>
      <c r="F943" s="71">
        <v>0</v>
      </c>
      <c r="G943" s="72">
        <v>0</v>
      </c>
      <c r="H943" s="72">
        <v>0</v>
      </c>
    </row>
    <row r="944" spans="2:8" ht="12">
      <c r="B944" s="64">
        <v>938</v>
      </c>
      <c r="C944" s="64" t="s">
        <v>1905</v>
      </c>
      <c r="D944" s="66" t="s">
        <v>2761</v>
      </c>
      <c r="E944" s="71">
        <v>0</v>
      </c>
      <c r="F944" s="71">
        <v>0</v>
      </c>
      <c r="G944" s="72">
        <v>0</v>
      </c>
      <c r="H944" s="72">
        <v>0</v>
      </c>
    </row>
    <row r="945" spans="2:8" ht="12">
      <c r="B945" s="64">
        <v>939</v>
      </c>
      <c r="C945" s="64" t="s">
        <v>1162</v>
      </c>
      <c r="D945" s="66" t="s">
        <v>1687</v>
      </c>
      <c r="E945" s="71">
        <v>0</v>
      </c>
      <c r="F945" s="71">
        <v>0</v>
      </c>
      <c r="G945" s="72">
        <v>0</v>
      </c>
      <c r="H945" s="72">
        <v>0</v>
      </c>
    </row>
    <row r="946" spans="2:8" ht="12">
      <c r="B946" s="64">
        <v>940</v>
      </c>
      <c r="C946" s="64" t="s">
        <v>1939</v>
      </c>
      <c r="D946" s="66" t="s">
        <v>1456</v>
      </c>
      <c r="E946" s="71">
        <v>0</v>
      </c>
      <c r="F946" s="71">
        <v>0</v>
      </c>
      <c r="G946" s="72">
        <v>0</v>
      </c>
      <c r="H946" s="72">
        <v>0</v>
      </c>
    </row>
    <row r="947" spans="2:8" ht="12">
      <c r="B947" s="64">
        <v>941</v>
      </c>
      <c r="C947" s="64" t="s">
        <v>2762</v>
      </c>
      <c r="D947" s="66" t="s">
        <v>1798</v>
      </c>
      <c r="E947" s="71">
        <v>0</v>
      </c>
      <c r="F947" s="71">
        <v>0</v>
      </c>
      <c r="G947" s="72">
        <v>0</v>
      </c>
      <c r="H947" s="72">
        <v>0</v>
      </c>
    </row>
    <row r="948" spans="2:8" ht="12">
      <c r="B948" s="64">
        <v>942</v>
      </c>
      <c r="C948" s="64" t="s">
        <v>2763</v>
      </c>
      <c r="D948" s="66" t="s">
        <v>1623</v>
      </c>
      <c r="E948" s="71">
        <v>0</v>
      </c>
      <c r="F948" s="71">
        <v>0</v>
      </c>
      <c r="G948" s="72">
        <v>0</v>
      </c>
      <c r="H948" s="72">
        <v>0</v>
      </c>
    </row>
    <row r="949" spans="2:8" ht="12">
      <c r="B949" s="64">
        <v>943</v>
      </c>
      <c r="C949" s="64" t="s">
        <v>1883</v>
      </c>
      <c r="D949" s="66" t="s">
        <v>2764</v>
      </c>
      <c r="E949" s="71">
        <v>0</v>
      </c>
      <c r="F949" s="71">
        <v>0</v>
      </c>
      <c r="G949" s="72">
        <v>0</v>
      </c>
      <c r="H949" s="72">
        <v>0</v>
      </c>
    </row>
    <row r="950" spans="2:8" ht="12">
      <c r="B950" s="64">
        <v>944</v>
      </c>
      <c r="C950" s="64" t="s">
        <v>1457</v>
      </c>
      <c r="D950" s="66" t="s">
        <v>1458</v>
      </c>
      <c r="E950" s="71">
        <v>0</v>
      </c>
      <c r="F950" s="71">
        <v>0</v>
      </c>
      <c r="G950" s="72">
        <v>0</v>
      </c>
      <c r="H950" s="72">
        <v>0</v>
      </c>
    </row>
    <row r="951" spans="2:8" ht="12">
      <c r="B951" s="64">
        <v>945</v>
      </c>
      <c r="C951" s="64" t="s">
        <v>2765</v>
      </c>
      <c r="D951" s="66" t="s">
        <v>2766</v>
      </c>
      <c r="E951" s="71">
        <v>0</v>
      </c>
      <c r="F951" s="71">
        <v>0</v>
      </c>
      <c r="G951" s="72">
        <v>0</v>
      </c>
      <c r="H951" s="72">
        <v>0</v>
      </c>
    </row>
    <row r="952" spans="2:8" ht="12">
      <c r="B952" s="64">
        <v>946</v>
      </c>
      <c r="C952" s="64" t="s">
        <v>1459</v>
      </c>
      <c r="D952" s="66" t="s">
        <v>2767</v>
      </c>
      <c r="E952" s="71">
        <v>0</v>
      </c>
      <c r="F952" s="71">
        <v>0</v>
      </c>
      <c r="G952" s="72">
        <v>0</v>
      </c>
      <c r="H952" s="72">
        <v>0</v>
      </c>
    </row>
    <row r="953" spans="2:8" ht="12">
      <c r="B953" s="64">
        <v>947</v>
      </c>
      <c r="C953" s="64" t="s">
        <v>2768</v>
      </c>
      <c r="D953" s="66" t="s">
        <v>1460</v>
      </c>
      <c r="E953" s="71">
        <v>0</v>
      </c>
      <c r="F953" s="71">
        <v>0</v>
      </c>
      <c r="G953" s="72">
        <v>0</v>
      </c>
      <c r="H953" s="72">
        <v>0</v>
      </c>
    </row>
    <row r="954" spans="2:8" ht="12">
      <c r="B954" s="64">
        <v>948</v>
      </c>
      <c r="C954" s="64" t="s">
        <v>1688</v>
      </c>
      <c r="D954" s="66" t="s">
        <v>636</v>
      </c>
      <c r="E954" s="71">
        <v>0</v>
      </c>
      <c r="F954" s="71">
        <v>0</v>
      </c>
      <c r="G954" s="72">
        <v>0</v>
      </c>
      <c r="H954" s="72">
        <v>0</v>
      </c>
    </row>
    <row r="955" spans="2:8" ht="12">
      <c r="B955" s="64">
        <v>949</v>
      </c>
      <c r="C955" s="64" t="s">
        <v>1163</v>
      </c>
      <c r="D955" s="66" t="s">
        <v>1551</v>
      </c>
      <c r="E955" s="71">
        <v>0</v>
      </c>
      <c r="F955" s="71">
        <v>0</v>
      </c>
      <c r="G955" s="72">
        <v>0</v>
      </c>
      <c r="H955" s="72">
        <v>0</v>
      </c>
    </row>
    <row r="956" spans="2:8" ht="12">
      <c r="B956" s="64">
        <v>950</v>
      </c>
      <c r="C956" s="64" t="s">
        <v>1756</v>
      </c>
      <c r="D956" s="66" t="s">
        <v>1164</v>
      </c>
      <c r="E956" s="71">
        <v>0</v>
      </c>
      <c r="F956" s="71">
        <v>0</v>
      </c>
      <c r="G956" s="72">
        <v>0</v>
      </c>
      <c r="H956" s="72">
        <v>0</v>
      </c>
    </row>
    <row r="957" spans="2:8" ht="12">
      <c r="B957" s="64">
        <v>951</v>
      </c>
      <c r="C957" s="64" t="s">
        <v>1165</v>
      </c>
      <c r="D957" s="66" t="s">
        <v>1166</v>
      </c>
      <c r="E957" s="71">
        <v>0</v>
      </c>
      <c r="F957" s="71">
        <v>0</v>
      </c>
      <c r="G957" s="72">
        <v>0</v>
      </c>
      <c r="H957" s="72">
        <v>0</v>
      </c>
    </row>
    <row r="958" spans="2:8" ht="12">
      <c r="B958" s="64">
        <v>952</v>
      </c>
      <c r="C958" s="64" t="s">
        <v>1167</v>
      </c>
      <c r="D958" s="66" t="s">
        <v>1168</v>
      </c>
      <c r="E958" s="71">
        <v>0</v>
      </c>
      <c r="F958" s="71">
        <v>0</v>
      </c>
      <c r="G958" s="72">
        <v>0</v>
      </c>
      <c r="H958" s="72">
        <v>0</v>
      </c>
    </row>
    <row r="959" spans="2:8" ht="12">
      <c r="B959" s="64">
        <v>953</v>
      </c>
      <c r="C959" s="64" t="s">
        <v>2769</v>
      </c>
      <c r="D959" s="66" t="s">
        <v>1169</v>
      </c>
      <c r="E959" s="71">
        <v>0</v>
      </c>
      <c r="F959" s="71">
        <v>0</v>
      </c>
      <c r="G959" s="72">
        <v>0</v>
      </c>
      <c r="H959" s="72">
        <v>0</v>
      </c>
    </row>
    <row r="960" spans="2:8" ht="12">
      <c r="B960" s="64">
        <v>954</v>
      </c>
      <c r="C960" s="64" t="s">
        <v>1552</v>
      </c>
      <c r="D960" s="66" t="s">
        <v>637</v>
      </c>
      <c r="E960" s="71">
        <v>0</v>
      </c>
      <c r="F960" s="71">
        <v>0</v>
      </c>
      <c r="G960" s="72">
        <v>0</v>
      </c>
      <c r="H960" s="72">
        <v>0</v>
      </c>
    </row>
    <row r="961" spans="2:8" ht="12">
      <c r="B961" s="64">
        <v>955</v>
      </c>
      <c r="C961" s="64" t="s">
        <v>1170</v>
      </c>
      <c r="D961" s="66" t="s">
        <v>1171</v>
      </c>
      <c r="E961" s="71">
        <v>0</v>
      </c>
      <c r="F961" s="71">
        <v>0</v>
      </c>
      <c r="G961" s="72">
        <v>0</v>
      </c>
      <c r="H961" s="72">
        <v>0</v>
      </c>
    </row>
    <row r="962" spans="2:8" ht="12">
      <c r="B962" s="64">
        <v>956</v>
      </c>
      <c r="C962" s="64" t="s">
        <v>1172</v>
      </c>
      <c r="D962" s="66" t="s">
        <v>1173</v>
      </c>
      <c r="E962" s="71">
        <v>0</v>
      </c>
      <c r="F962" s="71">
        <v>0</v>
      </c>
      <c r="G962" s="72">
        <v>0</v>
      </c>
      <c r="H962" s="72">
        <v>0</v>
      </c>
    </row>
    <row r="963" spans="2:8" ht="12">
      <c r="B963" s="64">
        <v>957</v>
      </c>
      <c r="C963" s="64" t="s">
        <v>1461</v>
      </c>
      <c r="D963" s="66" t="s">
        <v>2770</v>
      </c>
      <c r="E963" s="71">
        <v>0</v>
      </c>
      <c r="F963" s="71">
        <v>0</v>
      </c>
      <c r="G963" s="72">
        <v>0</v>
      </c>
      <c r="H963" s="72">
        <v>0</v>
      </c>
    </row>
    <row r="964" spans="2:8" ht="12">
      <c r="B964" s="64">
        <v>958</v>
      </c>
      <c r="C964" s="64" t="s">
        <v>1689</v>
      </c>
      <c r="D964" s="66" t="s">
        <v>1819</v>
      </c>
      <c r="E964" s="71">
        <v>0</v>
      </c>
      <c r="F964" s="71">
        <v>0</v>
      </c>
      <c r="G964" s="72">
        <v>0</v>
      </c>
      <c r="H964" s="72">
        <v>0</v>
      </c>
    </row>
    <row r="965" spans="2:8" ht="12">
      <c r="B965" s="64">
        <v>959</v>
      </c>
      <c r="C965" s="64" t="s">
        <v>1624</v>
      </c>
      <c r="D965" s="66" t="s">
        <v>638</v>
      </c>
      <c r="E965" s="71">
        <v>0</v>
      </c>
      <c r="F965" s="71">
        <v>0</v>
      </c>
      <c r="G965" s="72">
        <v>0</v>
      </c>
      <c r="H965" s="72">
        <v>0</v>
      </c>
    </row>
    <row r="966" spans="2:8" ht="12">
      <c r="B966" s="64">
        <v>960</v>
      </c>
      <c r="C966" s="64" t="s">
        <v>1625</v>
      </c>
      <c r="D966" s="66" t="s">
        <v>2771</v>
      </c>
      <c r="E966" s="71">
        <v>0</v>
      </c>
      <c r="F966" s="71">
        <v>0</v>
      </c>
      <c r="G966" s="72">
        <v>0</v>
      </c>
      <c r="H966" s="72">
        <v>0</v>
      </c>
    </row>
    <row r="967" spans="2:8" ht="12">
      <c r="B967" s="64">
        <v>961</v>
      </c>
      <c r="C967" s="64" t="s">
        <v>2772</v>
      </c>
      <c r="D967" s="66" t="s">
        <v>1174</v>
      </c>
      <c r="E967" s="71">
        <v>0</v>
      </c>
      <c r="F967" s="71">
        <v>0</v>
      </c>
      <c r="G967" s="72">
        <v>0</v>
      </c>
      <c r="H967" s="72">
        <v>0</v>
      </c>
    </row>
    <row r="968" spans="2:8" ht="12">
      <c r="B968" s="64">
        <v>962</v>
      </c>
      <c r="C968" s="64" t="s">
        <v>1553</v>
      </c>
      <c r="D968" s="66" t="s">
        <v>639</v>
      </c>
      <c r="E968" s="71">
        <v>0</v>
      </c>
      <c r="F968" s="71">
        <v>0</v>
      </c>
      <c r="G968" s="72">
        <v>0</v>
      </c>
      <c r="H968" s="72">
        <v>0</v>
      </c>
    </row>
    <row r="969" spans="2:8" ht="12">
      <c r="B969" s="64">
        <v>963</v>
      </c>
      <c r="C969" s="64" t="s">
        <v>1906</v>
      </c>
      <c r="D969" s="66" t="s">
        <v>1175</v>
      </c>
      <c r="E969" s="71">
        <v>0</v>
      </c>
      <c r="F969" s="71">
        <v>0</v>
      </c>
      <c r="G969" s="72">
        <v>0</v>
      </c>
      <c r="H969" s="72">
        <v>0</v>
      </c>
    </row>
    <row r="970" spans="2:8" ht="12">
      <c r="B970" s="64">
        <v>964</v>
      </c>
      <c r="C970" s="64" t="s">
        <v>2773</v>
      </c>
      <c r="D970" s="66" t="s">
        <v>2774</v>
      </c>
      <c r="E970" s="71">
        <v>0</v>
      </c>
      <c r="F970" s="71">
        <v>0</v>
      </c>
      <c r="G970" s="72">
        <v>0</v>
      </c>
      <c r="H970" s="72">
        <v>0</v>
      </c>
    </row>
    <row r="971" spans="2:8" ht="12">
      <c r="B971" s="64">
        <v>965</v>
      </c>
      <c r="C971" s="64" t="s">
        <v>1554</v>
      </c>
      <c r="D971" s="66" t="s">
        <v>1462</v>
      </c>
      <c r="E971" s="71">
        <v>0</v>
      </c>
      <c r="F971" s="71">
        <v>0</v>
      </c>
      <c r="G971" s="72">
        <v>0</v>
      </c>
      <c r="H971" s="72">
        <v>0</v>
      </c>
    </row>
    <row r="972" spans="2:8" ht="12">
      <c r="B972" s="64">
        <v>966</v>
      </c>
      <c r="C972" s="64" t="s">
        <v>2775</v>
      </c>
      <c r="D972" s="66" t="s">
        <v>2776</v>
      </c>
      <c r="E972" s="71">
        <v>0</v>
      </c>
      <c r="F972" s="71">
        <v>0</v>
      </c>
      <c r="G972" s="72">
        <v>0</v>
      </c>
      <c r="H972" s="72">
        <v>0</v>
      </c>
    </row>
    <row r="973" spans="2:8" ht="12">
      <c r="B973" s="64">
        <v>967</v>
      </c>
      <c r="C973" s="64" t="s">
        <v>640</v>
      </c>
      <c r="D973" s="66" t="s">
        <v>1176</v>
      </c>
      <c r="E973" s="71">
        <v>0</v>
      </c>
      <c r="F973" s="71">
        <v>0</v>
      </c>
      <c r="G973" s="72">
        <v>0</v>
      </c>
      <c r="H973" s="72">
        <v>0</v>
      </c>
    </row>
    <row r="974" spans="2:8" ht="12">
      <c r="B974" s="64">
        <v>968</v>
      </c>
      <c r="C974" s="64" t="s">
        <v>1463</v>
      </c>
      <c r="D974" s="66" t="s">
        <v>1177</v>
      </c>
      <c r="E974" s="71">
        <v>0</v>
      </c>
      <c r="F974" s="71">
        <v>0</v>
      </c>
      <c r="G974" s="72">
        <v>0</v>
      </c>
      <c r="H974" s="72">
        <v>0</v>
      </c>
    </row>
    <row r="975" spans="2:8" ht="12">
      <c r="B975" s="64">
        <v>969</v>
      </c>
      <c r="C975" s="64" t="s">
        <v>2777</v>
      </c>
      <c r="D975" s="66" t="s">
        <v>2778</v>
      </c>
      <c r="E975" s="71">
        <v>0</v>
      </c>
      <c r="F975" s="71">
        <v>0</v>
      </c>
      <c r="G975" s="72">
        <v>0</v>
      </c>
      <c r="H975" s="72">
        <v>0</v>
      </c>
    </row>
    <row r="976" spans="2:8" ht="12">
      <c r="B976" s="64">
        <v>970</v>
      </c>
      <c r="C976" s="64" t="s">
        <v>2779</v>
      </c>
      <c r="D976" s="66" t="s">
        <v>1178</v>
      </c>
      <c r="E976" s="71">
        <v>0</v>
      </c>
      <c r="F976" s="71">
        <v>0</v>
      </c>
      <c r="G976" s="72">
        <v>0</v>
      </c>
      <c r="H976" s="72">
        <v>0</v>
      </c>
    </row>
    <row r="977" spans="2:8" ht="12">
      <c r="B977" s="64">
        <v>971</v>
      </c>
      <c r="C977" s="64" t="s">
        <v>2780</v>
      </c>
      <c r="D977" s="66" t="s">
        <v>1179</v>
      </c>
      <c r="E977" s="71">
        <v>0</v>
      </c>
      <c r="F977" s="71">
        <v>0</v>
      </c>
      <c r="G977" s="72">
        <v>0</v>
      </c>
      <c r="H977" s="72">
        <v>0</v>
      </c>
    </row>
    <row r="978" spans="2:8" ht="12">
      <c r="B978" s="64">
        <v>972</v>
      </c>
      <c r="C978" s="64" t="s">
        <v>2781</v>
      </c>
      <c r="D978" s="66" t="s">
        <v>1180</v>
      </c>
      <c r="E978" s="71">
        <v>0</v>
      </c>
      <c r="F978" s="71">
        <v>0</v>
      </c>
      <c r="G978" s="72">
        <v>0</v>
      </c>
      <c r="H978" s="72">
        <v>0</v>
      </c>
    </row>
    <row r="979" spans="2:8" ht="12">
      <c r="B979" s="64">
        <v>973</v>
      </c>
      <c r="C979" s="64" t="s">
        <v>1464</v>
      </c>
      <c r="D979" s="66" t="s">
        <v>1555</v>
      </c>
      <c r="E979" s="71">
        <v>0</v>
      </c>
      <c r="F979" s="71">
        <v>0</v>
      </c>
      <c r="G979" s="72">
        <v>0</v>
      </c>
      <c r="H979" s="72">
        <v>0</v>
      </c>
    </row>
    <row r="980" spans="2:8" ht="12">
      <c r="B980" s="64">
        <v>974</v>
      </c>
      <c r="C980" s="64" t="s">
        <v>2782</v>
      </c>
      <c r="D980" s="66" t="s">
        <v>1556</v>
      </c>
      <c r="E980" s="71">
        <v>0</v>
      </c>
      <c r="F980" s="71">
        <v>0</v>
      </c>
      <c r="G980" s="72">
        <v>0</v>
      </c>
      <c r="H980" s="72">
        <v>0</v>
      </c>
    </row>
    <row r="981" spans="2:8" ht="12">
      <c r="B981" s="64">
        <v>975</v>
      </c>
      <c r="C981" s="64" t="s">
        <v>2783</v>
      </c>
      <c r="D981" s="66" t="s">
        <v>2784</v>
      </c>
      <c r="E981" s="71">
        <v>0</v>
      </c>
      <c r="F981" s="71">
        <v>0</v>
      </c>
      <c r="G981" s="72">
        <v>0</v>
      </c>
      <c r="H981" s="72">
        <v>0</v>
      </c>
    </row>
    <row r="982" spans="2:8" ht="12">
      <c r="B982" s="64">
        <v>976</v>
      </c>
      <c r="C982" s="64" t="s">
        <v>2785</v>
      </c>
      <c r="D982" s="66" t="s">
        <v>1557</v>
      </c>
      <c r="E982" s="71">
        <v>0</v>
      </c>
      <c r="F982" s="71">
        <v>0</v>
      </c>
      <c r="G982" s="72">
        <v>0</v>
      </c>
      <c r="H982" s="72">
        <v>0</v>
      </c>
    </row>
    <row r="983" spans="2:8" ht="12">
      <c r="B983" s="64">
        <v>977</v>
      </c>
      <c r="C983" s="64" t="s">
        <v>2786</v>
      </c>
      <c r="D983" s="66" t="s">
        <v>2787</v>
      </c>
      <c r="E983" s="71">
        <v>0</v>
      </c>
      <c r="F983" s="71">
        <v>0</v>
      </c>
      <c r="G983" s="72">
        <v>0</v>
      </c>
      <c r="H983" s="72">
        <v>0</v>
      </c>
    </row>
    <row r="984" spans="2:8" ht="12">
      <c r="B984" s="64">
        <v>978</v>
      </c>
      <c r="C984" s="64" t="s">
        <v>1950</v>
      </c>
      <c r="D984" s="66" t="s">
        <v>2788</v>
      </c>
      <c r="E984" s="71">
        <v>0</v>
      </c>
      <c r="F984" s="71">
        <v>0</v>
      </c>
      <c r="G984" s="72">
        <v>0</v>
      </c>
      <c r="H984" s="72">
        <v>0</v>
      </c>
    </row>
    <row r="985" spans="2:8" ht="12">
      <c r="B985" s="64">
        <v>979</v>
      </c>
      <c r="C985" s="64" t="s">
        <v>1181</v>
      </c>
      <c r="D985" s="66" t="s">
        <v>1182</v>
      </c>
      <c r="E985" s="71">
        <v>0</v>
      </c>
      <c r="F985" s="71">
        <v>0</v>
      </c>
      <c r="G985" s="72">
        <v>0</v>
      </c>
      <c r="H985" s="72">
        <v>0</v>
      </c>
    </row>
    <row r="986" spans="2:8" ht="12">
      <c r="B986" s="64">
        <v>980</v>
      </c>
      <c r="C986" s="64" t="s">
        <v>1183</v>
      </c>
      <c r="D986" s="66" t="s">
        <v>641</v>
      </c>
      <c r="E986" s="71">
        <v>0</v>
      </c>
      <c r="F986" s="71">
        <v>0</v>
      </c>
      <c r="G986" s="72">
        <v>0</v>
      </c>
      <c r="H986" s="72">
        <v>0</v>
      </c>
    </row>
    <row r="987" spans="2:8" ht="12">
      <c r="B987" s="64">
        <v>981</v>
      </c>
      <c r="C987" s="64" t="s">
        <v>1897</v>
      </c>
      <c r="D987" s="66" t="s">
        <v>2789</v>
      </c>
      <c r="E987" s="71">
        <v>0</v>
      </c>
      <c r="F987" s="71">
        <v>0</v>
      </c>
      <c r="G987" s="72">
        <v>0</v>
      </c>
      <c r="H987" s="72">
        <v>0</v>
      </c>
    </row>
    <row r="988" spans="2:8" ht="12">
      <c r="B988" s="64">
        <v>982</v>
      </c>
      <c r="C988" s="64" t="s">
        <v>2790</v>
      </c>
      <c r="D988" s="66" t="s">
        <v>2791</v>
      </c>
      <c r="E988" s="71">
        <v>0</v>
      </c>
      <c r="F988" s="71">
        <v>0</v>
      </c>
      <c r="G988" s="72">
        <v>0</v>
      </c>
      <c r="H988" s="72">
        <v>0</v>
      </c>
    </row>
    <row r="989" spans="2:8" ht="12">
      <c r="B989" s="64">
        <v>983</v>
      </c>
      <c r="C989" s="64" t="s">
        <v>1465</v>
      </c>
      <c r="D989" s="66" t="s">
        <v>1799</v>
      </c>
      <c r="E989" s="71">
        <v>0</v>
      </c>
      <c r="F989" s="71">
        <v>0</v>
      </c>
      <c r="G989" s="72">
        <v>0</v>
      </c>
      <c r="H989" s="72">
        <v>0</v>
      </c>
    </row>
    <row r="990" spans="2:8" ht="12">
      <c r="B990" s="64">
        <v>984</v>
      </c>
      <c r="C990" s="64" t="s">
        <v>1466</v>
      </c>
      <c r="D990" s="66" t="s">
        <v>2792</v>
      </c>
      <c r="E990" s="71">
        <v>0</v>
      </c>
      <c r="F990" s="71">
        <v>0</v>
      </c>
      <c r="G990" s="72">
        <v>0</v>
      </c>
      <c r="H990" s="72">
        <v>0</v>
      </c>
    </row>
    <row r="991" spans="2:8" ht="12">
      <c r="B991" s="64">
        <v>985</v>
      </c>
      <c r="C991" s="64" t="s">
        <v>642</v>
      </c>
      <c r="D991" s="66" t="s">
        <v>2793</v>
      </c>
      <c r="E991" s="71">
        <v>0</v>
      </c>
      <c r="F991" s="71">
        <v>0</v>
      </c>
      <c r="G991" s="72">
        <v>0</v>
      </c>
      <c r="H991" s="72">
        <v>0</v>
      </c>
    </row>
    <row r="992" spans="2:8" ht="12">
      <c r="B992" s="64">
        <v>986</v>
      </c>
      <c r="C992" s="64" t="s">
        <v>1626</v>
      </c>
      <c r="D992" s="66" t="s">
        <v>1467</v>
      </c>
      <c r="E992" s="71">
        <v>0</v>
      </c>
      <c r="F992" s="71">
        <v>0</v>
      </c>
      <c r="G992" s="72">
        <v>0</v>
      </c>
      <c r="H992" s="72">
        <v>0</v>
      </c>
    </row>
    <row r="993" spans="2:8" ht="12">
      <c r="B993" s="64">
        <v>987</v>
      </c>
      <c r="C993" s="64" t="s">
        <v>1184</v>
      </c>
      <c r="D993" s="66" t="s">
        <v>1627</v>
      </c>
      <c r="E993" s="71">
        <v>0</v>
      </c>
      <c r="F993" s="71">
        <v>0</v>
      </c>
      <c r="G993" s="72">
        <v>0</v>
      </c>
      <c r="H993" s="72">
        <v>0</v>
      </c>
    </row>
    <row r="994" spans="2:8" ht="12">
      <c r="B994" s="64">
        <v>988</v>
      </c>
      <c r="C994" s="64" t="s">
        <v>1690</v>
      </c>
      <c r="D994" s="66" t="s">
        <v>1468</v>
      </c>
      <c r="E994" s="71">
        <v>0</v>
      </c>
      <c r="F994" s="71">
        <v>0</v>
      </c>
      <c r="G994" s="72">
        <v>0</v>
      </c>
      <c r="H994" s="72">
        <v>0</v>
      </c>
    </row>
    <row r="995" spans="2:8" ht="12">
      <c r="B995" s="64">
        <v>989</v>
      </c>
      <c r="C995" s="64" t="s">
        <v>1469</v>
      </c>
      <c r="D995" s="66" t="s">
        <v>1470</v>
      </c>
      <c r="E995" s="71">
        <v>0</v>
      </c>
      <c r="F995" s="71">
        <v>0</v>
      </c>
      <c r="G995" s="72">
        <v>0</v>
      </c>
      <c r="H995" s="72">
        <v>0</v>
      </c>
    </row>
    <row r="996" spans="2:8" ht="12">
      <c r="B996" s="64">
        <v>990</v>
      </c>
      <c r="C996" s="64" t="s">
        <v>1185</v>
      </c>
      <c r="D996" s="66" t="s">
        <v>1186</v>
      </c>
      <c r="E996" s="71">
        <v>0</v>
      </c>
      <c r="F996" s="71">
        <v>0</v>
      </c>
      <c r="G996" s="72">
        <v>0</v>
      </c>
      <c r="H996" s="72">
        <v>0</v>
      </c>
    </row>
    <row r="997" spans="2:8" ht="12">
      <c r="B997" s="64">
        <v>991</v>
      </c>
      <c r="C997" s="64" t="s">
        <v>1471</v>
      </c>
      <c r="D997" s="66" t="s">
        <v>1187</v>
      </c>
      <c r="E997" s="71">
        <v>0</v>
      </c>
      <c r="F997" s="71">
        <v>0</v>
      </c>
      <c r="G997" s="72">
        <v>0</v>
      </c>
      <c r="H997" s="72">
        <v>0</v>
      </c>
    </row>
    <row r="998" spans="2:8" ht="12">
      <c r="B998" s="64">
        <v>992</v>
      </c>
      <c r="C998" s="64" t="s">
        <v>1188</v>
      </c>
      <c r="D998" s="66" t="s">
        <v>1628</v>
      </c>
      <c r="E998" s="71">
        <v>0</v>
      </c>
      <c r="F998" s="71">
        <v>0</v>
      </c>
      <c r="G998" s="72">
        <v>0</v>
      </c>
      <c r="H998" s="72">
        <v>0</v>
      </c>
    </row>
    <row r="999" spans="2:8" ht="12">
      <c r="B999" s="64">
        <v>993</v>
      </c>
      <c r="C999" s="64" t="s">
        <v>2794</v>
      </c>
      <c r="D999" s="66" t="s">
        <v>1558</v>
      </c>
      <c r="E999" s="71">
        <v>0</v>
      </c>
      <c r="F999" s="71">
        <v>0</v>
      </c>
      <c r="G999" s="72">
        <v>0</v>
      </c>
      <c r="H999" s="72">
        <v>0</v>
      </c>
    </row>
    <row r="1000" spans="2:8" ht="12">
      <c r="B1000" s="64">
        <v>994</v>
      </c>
      <c r="C1000" s="64" t="s">
        <v>1189</v>
      </c>
      <c r="D1000" s="66" t="s">
        <v>1951</v>
      </c>
      <c r="E1000" s="71">
        <v>0</v>
      </c>
      <c r="F1000" s="71">
        <v>0</v>
      </c>
      <c r="G1000" s="72">
        <v>0</v>
      </c>
      <c r="H1000" s="72">
        <v>0</v>
      </c>
    </row>
    <row r="1001" spans="2:8" ht="12">
      <c r="B1001" s="64">
        <v>995</v>
      </c>
      <c r="C1001" s="64" t="s">
        <v>643</v>
      </c>
      <c r="D1001" s="66" t="s">
        <v>1190</v>
      </c>
      <c r="E1001" s="71">
        <v>0</v>
      </c>
      <c r="F1001" s="71">
        <v>0</v>
      </c>
      <c r="G1001" s="72">
        <v>0</v>
      </c>
      <c r="H1001" s="72">
        <v>0</v>
      </c>
    </row>
    <row r="1002" spans="2:8" ht="12">
      <c r="B1002" s="64">
        <v>996</v>
      </c>
      <c r="C1002" s="64" t="s">
        <v>1800</v>
      </c>
      <c r="D1002" s="66" t="s">
        <v>1757</v>
      </c>
      <c r="E1002" s="71">
        <v>0</v>
      </c>
      <c r="F1002" s="71">
        <v>0</v>
      </c>
      <c r="G1002" s="72">
        <v>0</v>
      </c>
      <c r="H1002" s="72">
        <v>0</v>
      </c>
    </row>
    <row r="1003" spans="2:8" ht="12">
      <c r="B1003" s="64">
        <v>997</v>
      </c>
      <c r="C1003" s="64" t="s">
        <v>1191</v>
      </c>
      <c r="D1003" s="66" t="s">
        <v>1629</v>
      </c>
      <c r="E1003" s="71">
        <v>0</v>
      </c>
      <c r="F1003" s="71">
        <v>0</v>
      </c>
      <c r="G1003" s="72">
        <v>0</v>
      </c>
      <c r="H1003" s="72">
        <v>0</v>
      </c>
    </row>
    <row r="1004" spans="2:8" ht="12">
      <c r="B1004" s="64">
        <v>998</v>
      </c>
      <c r="C1004" s="64" t="s">
        <v>2795</v>
      </c>
      <c r="D1004" s="66" t="s">
        <v>1884</v>
      </c>
      <c r="E1004" s="71">
        <v>0</v>
      </c>
      <c r="F1004" s="71">
        <v>0</v>
      </c>
      <c r="G1004" s="72">
        <v>0</v>
      </c>
      <c r="H1004" s="72">
        <v>0</v>
      </c>
    </row>
    <row r="1005" spans="2:8" ht="12">
      <c r="B1005" s="64">
        <v>999</v>
      </c>
      <c r="C1005" s="64" t="s">
        <v>1630</v>
      </c>
      <c r="D1005" s="66" t="s">
        <v>2796</v>
      </c>
      <c r="E1005" s="71">
        <v>0</v>
      </c>
      <c r="F1005" s="71">
        <v>0</v>
      </c>
      <c r="G1005" s="72">
        <v>0</v>
      </c>
      <c r="H1005" s="72">
        <v>0</v>
      </c>
    </row>
    <row r="1006" spans="2:8" ht="12">
      <c r="B1006" s="64">
        <v>1000</v>
      </c>
      <c r="C1006" s="64" t="s">
        <v>1192</v>
      </c>
      <c r="D1006" s="66" t="s">
        <v>1801</v>
      </c>
      <c r="E1006" s="71">
        <v>62400</v>
      </c>
      <c r="F1006" s="71">
        <v>62400</v>
      </c>
      <c r="G1006" s="72">
        <v>31200</v>
      </c>
      <c r="H1006" s="72">
        <v>31200</v>
      </c>
    </row>
    <row r="1007" spans="2:8" ht="12">
      <c r="B1007" s="64">
        <v>1001</v>
      </c>
      <c r="C1007" s="64" t="s">
        <v>1472</v>
      </c>
      <c r="D1007" s="66" t="s">
        <v>1193</v>
      </c>
      <c r="E1007" s="71">
        <v>0</v>
      </c>
      <c r="F1007" s="71">
        <v>0</v>
      </c>
      <c r="G1007" s="72">
        <v>0</v>
      </c>
      <c r="H1007" s="72">
        <v>0</v>
      </c>
    </row>
    <row r="1008" spans="2:8" ht="12">
      <c r="B1008" s="64">
        <v>1002</v>
      </c>
      <c r="C1008" s="64" t="s">
        <v>1194</v>
      </c>
      <c r="D1008" s="66" t="s">
        <v>644</v>
      </c>
      <c r="E1008" s="71">
        <v>0</v>
      </c>
      <c r="F1008" s="71">
        <v>0</v>
      </c>
      <c r="G1008" s="72">
        <v>0</v>
      </c>
      <c r="H1008" s="72">
        <v>0</v>
      </c>
    </row>
    <row r="1009" spans="2:8" ht="12">
      <c r="B1009" s="64">
        <v>1003</v>
      </c>
      <c r="C1009" s="64" t="s">
        <v>1195</v>
      </c>
      <c r="D1009" s="66" t="s">
        <v>1631</v>
      </c>
      <c r="E1009" s="71">
        <v>0</v>
      </c>
      <c r="F1009" s="71">
        <v>0</v>
      </c>
      <c r="G1009" s="72">
        <v>0</v>
      </c>
      <c r="H1009" s="72">
        <v>0</v>
      </c>
    </row>
    <row r="1010" spans="2:8" ht="12">
      <c r="B1010" s="64">
        <v>1004</v>
      </c>
      <c r="C1010" s="64" t="s">
        <v>1473</v>
      </c>
      <c r="D1010" s="66" t="s">
        <v>1474</v>
      </c>
      <c r="E1010" s="71">
        <v>0</v>
      </c>
      <c r="F1010" s="71">
        <v>0</v>
      </c>
      <c r="G1010" s="72">
        <v>0</v>
      </c>
      <c r="H1010" s="72">
        <v>0</v>
      </c>
    </row>
    <row r="1011" spans="2:8" ht="12">
      <c r="B1011" s="64">
        <v>1005</v>
      </c>
      <c r="C1011" s="64" t="s">
        <v>2797</v>
      </c>
      <c r="D1011" s="66" t="s">
        <v>2798</v>
      </c>
      <c r="E1011" s="71">
        <v>0</v>
      </c>
      <c r="F1011" s="71">
        <v>0</v>
      </c>
      <c r="G1011" s="72">
        <v>0</v>
      </c>
      <c r="H1011" s="72">
        <v>0</v>
      </c>
    </row>
    <row r="1012" spans="2:8" ht="12">
      <c r="B1012" s="64">
        <v>1006</v>
      </c>
      <c r="C1012" s="64" t="s">
        <v>1475</v>
      </c>
      <c r="D1012" s="66" t="s">
        <v>2799</v>
      </c>
      <c r="E1012" s="71">
        <v>0</v>
      </c>
      <c r="F1012" s="71">
        <v>0</v>
      </c>
      <c r="G1012" s="72">
        <v>0</v>
      </c>
      <c r="H1012" s="72">
        <v>0</v>
      </c>
    </row>
    <row r="1013" spans="2:8" ht="12">
      <c r="B1013" s="64">
        <v>1007</v>
      </c>
      <c r="C1013" s="64" t="s">
        <v>1758</v>
      </c>
      <c r="D1013" s="66" t="s">
        <v>1196</v>
      </c>
      <c r="E1013" s="71">
        <v>0</v>
      </c>
      <c r="F1013" s="71">
        <v>0</v>
      </c>
      <c r="G1013" s="72">
        <v>0</v>
      </c>
      <c r="H1013" s="72">
        <v>0</v>
      </c>
    </row>
    <row r="1014" spans="2:8" ht="12">
      <c r="B1014" s="64">
        <v>1008</v>
      </c>
      <c r="C1014" s="64" t="s">
        <v>645</v>
      </c>
      <c r="D1014" s="66" t="s">
        <v>1197</v>
      </c>
      <c r="E1014" s="71">
        <v>0</v>
      </c>
      <c r="F1014" s="71">
        <v>0</v>
      </c>
      <c r="G1014" s="72">
        <v>0</v>
      </c>
      <c r="H1014" s="72">
        <v>0</v>
      </c>
    </row>
    <row r="1015" spans="2:8" ht="12">
      <c r="B1015" s="64">
        <v>1009</v>
      </c>
      <c r="C1015" s="64" t="s">
        <v>1198</v>
      </c>
      <c r="D1015" s="66" t="s">
        <v>1559</v>
      </c>
      <c r="E1015" s="71">
        <v>0</v>
      </c>
      <c r="F1015" s="71">
        <v>0</v>
      </c>
      <c r="G1015" s="72">
        <v>0</v>
      </c>
      <c r="H1015" s="72">
        <v>0</v>
      </c>
    </row>
    <row r="1016" spans="2:8" ht="12">
      <c r="B1016" s="64">
        <v>1010</v>
      </c>
      <c r="C1016" s="64" t="s">
        <v>1759</v>
      </c>
      <c r="D1016" s="66" t="s">
        <v>1940</v>
      </c>
      <c r="E1016" s="71">
        <v>0</v>
      </c>
      <c r="F1016" s="71">
        <v>0</v>
      </c>
      <c r="G1016" s="72">
        <v>0</v>
      </c>
      <c r="H1016" s="72">
        <v>0</v>
      </c>
    </row>
    <row r="1017" spans="2:8" ht="12">
      <c r="B1017" s="64">
        <v>1011</v>
      </c>
      <c r="C1017" s="64" t="s">
        <v>1632</v>
      </c>
      <c r="D1017" s="66" t="s">
        <v>1907</v>
      </c>
      <c r="E1017" s="71">
        <v>0</v>
      </c>
      <c r="F1017" s="71">
        <v>0</v>
      </c>
      <c r="G1017" s="72">
        <v>0</v>
      </c>
      <c r="H1017" s="72">
        <v>0</v>
      </c>
    </row>
    <row r="1018" spans="2:8" ht="12">
      <c r="B1018" s="64">
        <v>1012</v>
      </c>
      <c r="C1018" s="64" t="s">
        <v>1199</v>
      </c>
      <c r="D1018" s="66" t="s">
        <v>1200</v>
      </c>
      <c r="E1018" s="71">
        <v>0</v>
      </c>
      <c r="F1018" s="71">
        <v>0</v>
      </c>
      <c r="G1018" s="72">
        <v>0</v>
      </c>
      <c r="H1018" s="72">
        <v>0</v>
      </c>
    </row>
    <row r="1019" spans="2:8" ht="12">
      <c r="B1019" s="64">
        <v>1013</v>
      </c>
      <c r="C1019" s="64" t="s">
        <v>646</v>
      </c>
      <c r="D1019" s="66" t="s">
        <v>1843</v>
      </c>
      <c r="E1019" s="71">
        <v>0</v>
      </c>
      <c r="F1019" s="71">
        <v>0</v>
      </c>
      <c r="G1019" s="72">
        <v>0</v>
      </c>
      <c r="H1019" s="72">
        <v>0</v>
      </c>
    </row>
    <row r="1020" spans="2:8" ht="12">
      <c r="B1020" s="64">
        <v>1014</v>
      </c>
      <c r="C1020" s="64" t="s">
        <v>2800</v>
      </c>
      <c r="D1020" s="66" t="s">
        <v>1908</v>
      </c>
      <c r="E1020" s="71">
        <v>0</v>
      </c>
      <c r="F1020" s="71">
        <v>0</v>
      </c>
      <c r="G1020" s="72">
        <v>0</v>
      </c>
      <c r="H1020" s="72">
        <v>0</v>
      </c>
    </row>
    <row r="1021" spans="2:8" ht="12">
      <c r="B1021" s="64">
        <v>1015</v>
      </c>
      <c r="C1021" s="64" t="s">
        <v>1476</v>
      </c>
      <c r="D1021" s="66" t="s">
        <v>1477</v>
      </c>
      <c r="E1021" s="71">
        <v>0</v>
      </c>
      <c r="F1021" s="71">
        <v>0</v>
      </c>
      <c r="G1021" s="72">
        <v>0</v>
      </c>
      <c r="H1021" s="72">
        <v>0</v>
      </c>
    </row>
    <row r="1022" spans="2:8" ht="12">
      <c r="B1022" s="64">
        <v>1016</v>
      </c>
      <c r="C1022" s="64" t="s">
        <v>1201</v>
      </c>
      <c r="D1022" s="66" t="s">
        <v>2801</v>
      </c>
      <c r="E1022" s="71">
        <v>0</v>
      </c>
      <c r="F1022" s="71">
        <v>0</v>
      </c>
      <c r="G1022" s="72">
        <v>0</v>
      </c>
      <c r="H1022" s="72">
        <v>0</v>
      </c>
    </row>
    <row r="1023" spans="2:8" ht="12">
      <c r="B1023" s="64">
        <v>1017</v>
      </c>
      <c r="C1023" s="64" t="s">
        <v>1802</v>
      </c>
      <c r="D1023" s="66" t="s">
        <v>1202</v>
      </c>
      <c r="E1023" s="71">
        <v>0</v>
      </c>
      <c r="F1023" s="71">
        <v>0</v>
      </c>
      <c r="G1023" s="72">
        <v>0</v>
      </c>
      <c r="H1023" s="72">
        <v>0</v>
      </c>
    </row>
    <row r="1024" spans="2:8" ht="12">
      <c r="B1024" s="64">
        <v>1018</v>
      </c>
      <c r="C1024" s="64" t="s">
        <v>1560</v>
      </c>
      <c r="D1024" s="66" t="s">
        <v>2802</v>
      </c>
      <c r="E1024" s="71">
        <v>0</v>
      </c>
      <c r="F1024" s="71">
        <v>0</v>
      </c>
      <c r="G1024" s="72">
        <v>0</v>
      </c>
      <c r="H1024" s="72">
        <v>0</v>
      </c>
    </row>
    <row r="1025" spans="2:8" ht="12">
      <c r="B1025" s="64">
        <v>1019</v>
      </c>
      <c r="C1025" s="64" t="s">
        <v>2803</v>
      </c>
      <c r="D1025" s="66" t="s">
        <v>647</v>
      </c>
      <c r="E1025" s="71">
        <v>0</v>
      </c>
      <c r="F1025" s="71">
        <v>0</v>
      </c>
      <c r="G1025" s="72">
        <v>0</v>
      </c>
      <c r="H1025" s="72">
        <v>0</v>
      </c>
    </row>
    <row r="1026" spans="2:8" ht="12">
      <c r="B1026" s="64">
        <v>1020</v>
      </c>
      <c r="C1026" s="64" t="s">
        <v>1203</v>
      </c>
      <c r="D1026" s="66" t="s">
        <v>2804</v>
      </c>
      <c r="E1026" s="71">
        <v>0</v>
      </c>
      <c r="F1026" s="71">
        <v>0</v>
      </c>
      <c r="G1026" s="72">
        <v>0</v>
      </c>
      <c r="H1026" s="72">
        <v>0</v>
      </c>
    </row>
    <row r="1027" spans="2:8" ht="12">
      <c r="B1027" s="64">
        <v>1021</v>
      </c>
      <c r="C1027" s="64" t="s">
        <v>1760</v>
      </c>
      <c r="D1027" s="66" t="s">
        <v>2805</v>
      </c>
      <c r="E1027" s="71">
        <v>0</v>
      </c>
      <c r="F1027" s="71">
        <v>0</v>
      </c>
      <c r="G1027" s="72">
        <v>0</v>
      </c>
      <c r="H1027" s="72">
        <v>0</v>
      </c>
    </row>
    <row r="1028" spans="2:8" ht="12">
      <c r="B1028" s="64">
        <v>1022</v>
      </c>
      <c r="C1028" s="64" t="s">
        <v>2806</v>
      </c>
      <c r="D1028" s="66" t="s">
        <v>2807</v>
      </c>
      <c r="E1028" s="71">
        <v>0</v>
      </c>
      <c r="F1028" s="71">
        <v>0</v>
      </c>
      <c r="G1028" s="72">
        <v>0</v>
      </c>
      <c r="H1028" s="72">
        <v>0</v>
      </c>
    </row>
    <row r="1029" spans="2:8" ht="12">
      <c r="B1029" s="64">
        <v>1023</v>
      </c>
      <c r="C1029" s="64" t="s">
        <v>1691</v>
      </c>
      <c r="D1029" s="66" t="s">
        <v>1204</v>
      </c>
      <c r="E1029" s="71">
        <v>0</v>
      </c>
      <c r="F1029" s="71">
        <v>0</v>
      </c>
      <c r="G1029" s="72">
        <v>0</v>
      </c>
      <c r="H1029" s="72">
        <v>0</v>
      </c>
    </row>
    <row r="1030" spans="2:8" ht="12">
      <c r="B1030" s="64">
        <v>1024</v>
      </c>
      <c r="C1030" s="64" t="s">
        <v>1205</v>
      </c>
      <c r="D1030" s="66" t="s">
        <v>1478</v>
      </c>
      <c r="E1030" s="71">
        <v>0</v>
      </c>
      <c r="F1030" s="71">
        <v>0</v>
      </c>
      <c r="G1030" s="72">
        <v>0</v>
      </c>
      <c r="H1030" s="72">
        <v>0</v>
      </c>
    </row>
    <row r="1031" spans="2:8" ht="12">
      <c r="B1031" s="64">
        <v>1025</v>
      </c>
      <c r="C1031" s="64" t="s">
        <v>1479</v>
      </c>
      <c r="D1031" s="66" t="s">
        <v>2808</v>
      </c>
      <c r="E1031" s="71">
        <v>0</v>
      </c>
      <c r="F1031" s="71">
        <v>0</v>
      </c>
      <c r="G1031" s="72">
        <v>0</v>
      </c>
      <c r="H1031" s="72">
        <v>0</v>
      </c>
    </row>
    <row r="1032" spans="2:8" ht="12">
      <c r="B1032" s="64">
        <v>1026</v>
      </c>
      <c r="C1032" s="64" t="s">
        <v>1692</v>
      </c>
      <c r="D1032" s="66" t="s">
        <v>1633</v>
      </c>
      <c r="E1032" s="71">
        <v>0</v>
      </c>
      <c r="F1032" s="71">
        <v>0</v>
      </c>
      <c r="G1032" s="72">
        <v>0</v>
      </c>
      <c r="H1032" s="72">
        <v>0</v>
      </c>
    </row>
    <row r="1033" spans="2:8" ht="12">
      <c r="B1033" s="64">
        <v>1027</v>
      </c>
      <c r="C1033" s="64" t="s">
        <v>1909</v>
      </c>
      <c r="D1033" s="66" t="s">
        <v>1862</v>
      </c>
      <c r="E1033" s="71">
        <v>0</v>
      </c>
      <c r="F1033" s="71">
        <v>0</v>
      </c>
      <c r="G1033" s="72">
        <v>0</v>
      </c>
      <c r="H1033" s="72">
        <v>0</v>
      </c>
    </row>
    <row r="1034" spans="2:8" ht="12">
      <c r="B1034" s="64">
        <v>1028</v>
      </c>
      <c r="C1034" s="64" t="s">
        <v>1480</v>
      </c>
      <c r="D1034" s="66" t="s">
        <v>1206</v>
      </c>
      <c r="E1034" s="71">
        <v>0</v>
      </c>
      <c r="F1034" s="71">
        <v>0</v>
      </c>
      <c r="G1034" s="72">
        <v>0</v>
      </c>
      <c r="H1034" s="72">
        <v>0</v>
      </c>
    </row>
    <row r="1035" spans="2:8" ht="12">
      <c r="B1035" s="64">
        <v>1029</v>
      </c>
      <c r="C1035" s="64" t="s">
        <v>1207</v>
      </c>
      <c r="D1035" s="66" t="s">
        <v>1634</v>
      </c>
      <c r="E1035" s="71">
        <v>0</v>
      </c>
      <c r="F1035" s="71">
        <v>0</v>
      </c>
      <c r="G1035" s="72">
        <v>0</v>
      </c>
      <c r="H1035" s="72">
        <v>0</v>
      </c>
    </row>
    <row r="1036" spans="2:8" ht="12">
      <c r="B1036" s="64">
        <v>1030</v>
      </c>
      <c r="C1036" s="64" t="s">
        <v>1635</v>
      </c>
      <c r="D1036" s="66" t="s">
        <v>648</v>
      </c>
      <c r="E1036" s="71">
        <v>0</v>
      </c>
      <c r="F1036" s="71">
        <v>0</v>
      </c>
      <c r="G1036" s="72">
        <v>0</v>
      </c>
      <c r="H1036" s="72">
        <v>0</v>
      </c>
    </row>
    <row r="1037" spans="2:8" ht="12">
      <c r="B1037" s="64">
        <v>1031</v>
      </c>
      <c r="C1037" s="64" t="s">
        <v>2809</v>
      </c>
      <c r="D1037" s="66" t="s">
        <v>1208</v>
      </c>
      <c r="E1037" s="71">
        <v>0</v>
      </c>
      <c r="F1037" s="71">
        <v>0</v>
      </c>
      <c r="G1037" s="72">
        <v>0</v>
      </c>
      <c r="H1037" s="72">
        <v>0</v>
      </c>
    </row>
    <row r="1038" spans="2:8" ht="12">
      <c r="B1038" s="64">
        <v>1032</v>
      </c>
      <c r="C1038" s="64" t="s">
        <v>1209</v>
      </c>
      <c r="D1038" s="66" t="s">
        <v>2810</v>
      </c>
      <c r="E1038" s="71">
        <v>0</v>
      </c>
      <c r="F1038" s="71">
        <v>0</v>
      </c>
      <c r="G1038" s="72">
        <v>0</v>
      </c>
      <c r="H1038" s="72">
        <v>0</v>
      </c>
    </row>
    <row r="1039" spans="2:8" ht="12">
      <c r="B1039" s="64">
        <v>1033</v>
      </c>
      <c r="C1039" s="64" t="s">
        <v>2811</v>
      </c>
      <c r="D1039" s="66" t="s">
        <v>2812</v>
      </c>
      <c r="E1039" s="71">
        <v>0</v>
      </c>
      <c r="F1039" s="71">
        <v>0</v>
      </c>
      <c r="G1039" s="72">
        <v>0</v>
      </c>
      <c r="H1039" s="72">
        <v>0</v>
      </c>
    </row>
    <row r="1040" spans="2:8" ht="12">
      <c r="B1040" s="64">
        <v>1034</v>
      </c>
      <c r="C1040" s="64" t="s">
        <v>2813</v>
      </c>
      <c r="D1040" s="66" t="s">
        <v>1481</v>
      </c>
      <c r="E1040" s="71">
        <v>0</v>
      </c>
      <c r="F1040" s="71">
        <v>0</v>
      </c>
      <c r="G1040" s="72">
        <v>0</v>
      </c>
      <c r="H1040" s="72">
        <v>0</v>
      </c>
    </row>
    <row r="1041" spans="2:8" ht="12">
      <c r="B1041" s="64">
        <v>1035</v>
      </c>
      <c r="C1041" s="64" t="s">
        <v>1482</v>
      </c>
      <c r="D1041" s="66" t="s">
        <v>649</v>
      </c>
      <c r="E1041" s="71">
        <v>0</v>
      </c>
      <c r="F1041" s="71">
        <v>0</v>
      </c>
      <c r="G1041" s="72">
        <v>0</v>
      </c>
      <c r="H1041" s="72">
        <v>0</v>
      </c>
    </row>
    <row r="1042" spans="2:8" ht="12">
      <c r="B1042" s="64">
        <v>1036</v>
      </c>
      <c r="C1042" s="64" t="s">
        <v>1210</v>
      </c>
      <c r="D1042" s="66" t="s">
        <v>1211</v>
      </c>
      <c r="E1042" s="71">
        <v>0</v>
      </c>
      <c r="F1042" s="71">
        <v>0</v>
      </c>
      <c r="G1042" s="72">
        <v>0</v>
      </c>
      <c r="H1042" s="72">
        <v>0</v>
      </c>
    </row>
    <row r="1043" spans="2:8" ht="12">
      <c r="B1043" s="64">
        <v>1037</v>
      </c>
      <c r="C1043" s="64" t="s">
        <v>2814</v>
      </c>
      <c r="D1043" s="66" t="s">
        <v>2815</v>
      </c>
      <c r="E1043" s="71">
        <v>0</v>
      </c>
      <c r="F1043" s="71">
        <v>0</v>
      </c>
      <c r="G1043" s="72">
        <v>0</v>
      </c>
      <c r="H1043" s="72">
        <v>0</v>
      </c>
    </row>
    <row r="1044" spans="2:8" ht="12">
      <c r="B1044" s="64">
        <v>1038</v>
      </c>
      <c r="C1044" s="64" t="s">
        <v>1212</v>
      </c>
      <c r="D1044" s="66" t="s">
        <v>1213</v>
      </c>
      <c r="E1044" s="71">
        <v>0</v>
      </c>
      <c r="F1044" s="71">
        <v>0</v>
      </c>
      <c r="G1044" s="72">
        <v>0</v>
      </c>
      <c r="H1044" s="72">
        <v>0</v>
      </c>
    </row>
    <row r="1045" spans="2:8" ht="12">
      <c r="B1045" s="64">
        <v>1039</v>
      </c>
      <c r="C1045" s="64" t="s">
        <v>2816</v>
      </c>
      <c r="D1045" s="66" t="s">
        <v>1214</v>
      </c>
      <c r="E1045" s="71">
        <v>0</v>
      </c>
      <c r="F1045" s="71">
        <v>0</v>
      </c>
      <c r="G1045" s="72">
        <v>0</v>
      </c>
      <c r="H1045" s="72">
        <v>0</v>
      </c>
    </row>
    <row r="1046" spans="2:8" ht="12">
      <c r="B1046" s="64">
        <v>1040</v>
      </c>
      <c r="C1046" s="64" t="s">
        <v>1483</v>
      </c>
      <c r="D1046" s="66" t="s">
        <v>1215</v>
      </c>
      <c r="E1046" s="71">
        <v>0</v>
      </c>
      <c r="F1046" s="71">
        <v>0</v>
      </c>
      <c r="G1046" s="72">
        <v>0</v>
      </c>
      <c r="H1046" s="72">
        <v>0</v>
      </c>
    </row>
    <row r="1047" spans="2:8" ht="12">
      <c r="B1047" s="64">
        <v>1041</v>
      </c>
      <c r="C1047" s="64" t="s">
        <v>1636</v>
      </c>
      <c r="D1047" s="66" t="s">
        <v>650</v>
      </c>
      <c r="E1047" s="71">
        <v>0</v>
      </c>
      <c r="F1047" s="71">
        <v>0</v>
      </c>
      <c r="G1047" s="72">
        <v>0</v>
      </c>
      <c r="H1047" s="72">
        <v>0</v>
      </c>
    </row>
    <row r="1048" spans="2:8" ht="12">
      <c r="B1048" s="64">
        <v>1042</v>
      </c>
      <c r="C1048" s="64" t="s">
        <v>2817</v>
      </c>
      <c r="D1048" s="66" t="s">
        <v>1216</v>
      </c>
      <c r="E1048" s="71">
        <v>0</v>
      </c>
      <c r="F1048" s="71">
        <v>0</v>
      </c>
      <c r="G1048" s="72">
        <v>0</v>
      </c>
      <c r="H1048" s="72">
        <v>0</v>
      </c>
    </row>
    <row r="1049" spans="2:8" ht="12">
      <c r="B1049" s="64">
        <v>1043</v>
      </c>
      <c r="C1049" s="64" t="s">
        <v>1217</v>
      </c>
      <c r="D1049" s="66" t="s">
        <v>2818</v>
      </c>
      <c r="E1049" s="71">
        <v>0</v>
      </c>
      <c r="F1049" s="71">
        <v>0</v>
      </c>
      <c r="G1049" s="72">
        <v>0</v>
      </c>
      <c r="H1049" s="72">
        <v>0</v>
      </c>
    </row>
    <row r="1050" spans="2:8" ht="12">
      <c r="B1050" s="64">
        <v>1044</v>
      </c>
      <c r="C1050" s="64" t="s">
        <v>2819</v>
      </c>
      <c r="D1050" s="66" t="s">
        <v>1218</v>
      </c>
      <c r="E1050" s="71">
        <v>0</v>
      </c>
      <c r="F1050" s="71">
        <v>0</v>
      </c>
      <c r="G1050" s="72">
        <v>0</v>
      </c>
      <c r="H1050" s="72">
        <v>0</v>
      </c>
    </row>
    <row r="1051" spans="2:8" ht="12">
      <c r="B1051" s="64">
        <v>1045</v>
      </c>
      <c r="C1051" s="64" t="s">
        <v>1219</v>
      </c>
      <c r="D1051" s="66" t="s">
        <v>2820</v>
      </c>
      <c r="E1051" s="71">
        <v>0</v>
      </c>
      <c r="F1051" s="71">
        <v>0</v>
      </c>
      <c r="G1051" s="72">
        <v>0</v>
      </c>
      <c r="H1051" s="72">
        <v>0</v>
      </c>
    </row>
    <row r="1052" spans="2:8" ht="12">
      <c r="B1052" s="64">
        <v>1046</v>
      </c>
      <c r="C1052" s="64" t="s">
        <v>651</v>
      </c>
      <c r="D1052" s="66" t="s">
        <v>2821</v>
      </c>
      <c r="E1052" s="71">
        <v>0</v>
      </c>
      <c r="F1052" s="71">
        <v>0</v>
      </c>
      <c r="G1052" s="72">
        <v>0</v>
      </c>
      <c r="H1052" s="72">
        <v>0</v>
      </c>
    </row>
    <row r="1053" spans="2:8" ht="12">
      <c r="B1053" s="64">
        <v>1047</v>
      </c>
      <c r="C1053" s="64" t="s">
        <v>2822</v>
      </c>
      <c r="D1053" s="66" t="s">
        <v>1220</v>
      </c>
      <c r="E1053" s="71">
        <v>0</v>
      </c>
      <c r="F1053" s="71">
        <v>0</v>
      </c>
      <c r="G1053" s="72">
        <v>0</v>
      </c>
      <c r="H1053" s="72">
        <v>0</v>
      </c>
    </row>
    <row r="1054" spans="2:8" ht="12">
      <c r="B1054" s="64">
        <v>1048</v>
      </c>
      <c r="C1054" s="64" t="s">
        <v>1221</v>
      </c>
      <c r="D1054" s="66" t="s">
        <v>2823</v>
      </c>
      <c r="E1054" s="71">
        <v>0</v>
      </c>
      <c r="F1054" s="71">
        <v>0</v>
      </c>
      <c r="G1054" s="72">
        <v>0</v>
      </c>
      <c r="H1054" s="72">
        <v>0</v>
      </c>
    </row>
    <row r="1055" spans="2:8" ht="12">
      <c r="B1055" s="64">
        <v>1049</v>
      </c>
      <c r="C1055" s="64" t="s">
        <v>1222</v>
      </c>
      <c r="D1055" s="66" t="s">
        <v>1223</v>
      </c>
      <c r="E1055" s="71">
        <v>0</v>
      </c>
      <c r="F1055" s="71">
        <v>0</v>
      </c>
      <c r="G1055" s="72">
        <v>0</v>
      </c>
      <c r="H1055" s="72">
        <v>0</v>
      </c>
    </row>
    <row r="1056" spans="2:8" ht="12">
      <c r="B1056" s="64">
        <v>1050</v>
      </c>
      <c r="C1056" s="64" t="s">
        <v>1761</v>
      </c>
      <c r="D1056" s="66" t="s">
        <v>1224</v>
      </c>
      <c r="E1056" s="71">
        <v>0</v>
      </c>
      <c r="F1056" s="71">
        <v>0</v>
      </c>
      <c r="G1056" s="72">
        <v>0</v>
      </c>
      <c r="H1056" s="72">
        <v>0</v>
      </c>
    </row>
    <row r="1057" spans="2:8" ht="12">
      <c r="B1057" s="64">
        <v>1051</v>
      </c>
      <c r="C1057" s="64" t="s">
        <v>1561</v>
      </c>
      <c r="D1057" s="66" t="s">
        <v>652</v>
      </c>
      <c r="E1057" s="71">
        <v>0</v>
      </c>
      <c r="F1057" s="71">
        <v>0</v>
      </c>
      <c r="G1057" s="72">
        <v>0</v>
      </c>
      <c r="H1057" s="72">
        <v>0</v>
      </c>
    </row>
    <row r="1058" spans="2:8" ht="12">
      <c r="B1058" s="64">
        <v>1052</v>
      </c>
      <c r="C1058" s="64" t="s">
        <v>1803</v>
      </c>
      <c r="D1058" s="66" t="s">
        <v>2824</v>
      </c>
      <c r="E1058" s="71">
        <v>0</v>
      </c>
      <c r="F1058" s="71">
        <v>0</v>
      </c>
      <c r="G1058" s="72">
        <v>0</v>
      </c>
      <c r="H1058" s="72">
        <v>0</v>
      </c>
    </row>
    <row r="1059" spans="2:8" ht="12">
      <c r="B1059" s="64">
        <v>1053</v>
      </c>
      <c r="C1059" s="64" t="s">
        <v>2825</v>
      </c>
      <c r="D1059" s="66" t="s">
        <v>1762</v>
      </c>
      <c r="E1059" s="71">
        <v>0</v>
      </c>
      <c r="F1059" s="71">
        <v>0</v>
      </c>
      <c r="G1059" s="72">
        <v>0</v>
      </c>
      <c r="H1059" s="72">
        <v>0</v>
      </c>
    </row>
    <row r="1060" spans="2:8" ht="12">
      <c r="B1060" s="64">
        <v>1054</v>
      </c>
      <c r="C1060" s="64" t="s">
        <v>1225</v>
      </c>
      <c r="D1060" s="66" t="s">
        <v>2826</v>
      </c>
      <c r="E1060" s="71">
        <v>0</v>
      </c>
      <c r="F1060" s="71">
        <v>0</v>
      </c>
      <c r="G1060" s="72">
        <v>0</v>
      </c>
      <c r="H1060" s="72">
        <v>0</v>
      </c>
    </row>
    <row r="1061" spans="2:8" ht="12">
      <c r="B1061" s="64">
        <v>1055</v>
      </c>
      <c r="C1061" s="64" t="s">
        <v>1562</v>
      </c>
      <c r="D1061" s="66" t="s">
        <v>2827</v>
      </c>
      <c r="E1061" s="71">
        <v>0</v>
      </c>
      <c r="F1061" s="71">
        <v>0</v>
      </c>
      <c r="G1061" s="72">
        <v>0</v>
      </c>
      <c r="H1061" s="72">
        <v>0</v>
      </c>
    </row>
    <row r="1062" spans="2:8" ht="12">
      <c r="B1062" s="64">
        <v>1056</v>
      </c>
      <c r="C1062" s="64" t="s">
        <v>653</v>
      </c>
      <c r="D1062" s="66" t="s">
        <v>2828</v>
      </c>
      <c r="E1062" s="71">
        <v>0</v>
      </c>
      <c r="F1062" s="71">
        <v>0</v>
      </c>
      <c r="G1062" s="72">
        <v>0</v>
      </c>
      <c r="H1062" s="72">
        <v>0</v>
      </c>
    </row>
    <row r="1063" spans="2:8" ht="12">
      <c r="B1063" s="64">
        <v>1057</v>
      </c>
      <c r="C1063" s="64" t="s">
        <v>1693</v>
      </c>
      <c r="D1063" s="66" t="s">
        <v>1226</v>
      </c>
      <c r="E1063" s="71">
        <v>0</v>
      </c>
      <c r="F1063" s="71">
        <v>0</v>
      </c>
      <c r="G1063" s="72">
        <v>0</v>
      </c>
      <c r="H1063" s="72">
        <v>0</v>
      </c>
    </row>
    <row r="1064" spans="2:8" ht="12">
      <c r="B1064" s="64">
        <v>1058</v>
      </c>
      <c r="C1064" s="64" t="s">
        <v>1227</v>
      </c>
      <c r="D1064" s="66" t="s">
        <v>1694</v>
      </c>
      <c r="E1064" s="71">
        <v>0</v>
      </c>
      <c r="F1064" s="71">
        <v>0</v>
      </c>
      <c r="G1064" s="72">
        <v>0</v>
      </c>
      <c r="H1064" s="72">
        <v>0</v>
      </c>
    </row>
    <row r="1065" spans="2:8" ht="12">
      <c r="B1065" s="64">
        <v>1059</v>
      </c>
      <c r="C1065" s="64" t="s">
        <v>1484</v>
      </c>
      <c r="D1065" s="66" t="s">
        <v>1228</v>
      </c>
      <c r="E1065" s="71">
        <v>0</v>
      </c>
      <c r="F1065" s="71">
        <v>0</v>
      </c>
      <c r="G1065" s="72">
        <v>0</v>
      </c>
      <c r="H1065" s="72">
        <v>0</v>
      </c>
    </row>
    <row r="1066" spans="2:8" ht="12">
      <c r="B1066" s="64">
        <v>1060</v>
      </c>
      <c r="C1066" s="64" t="s">
        <v>1563</v>
      </c>
      <c r="D1066" s="66" t="s">
        <v>1637</v>
      </c>
      <c r="E1066" s="71">
        <v>0</v>
      </c>
      <c r="F1066" s="71">
        <v>0</v>
      </c>
      <c r="G1066" s="72">
        <v>0</v>
      </c>
      <c r="H1066" s="72">
        <v>0</v>
      </c>
    </row>
    <row r="1067" spans="2:8" ht="12">
      <c r="B1067" s="64">
        <v>1061</v>
      </c>
      <c r="C1067" s="64" t="s">
        <v>1229</v>
      </c>
      <c r="D1067" s="66" t="s">
        <v>1230</v>
      </c>
      <c r="E1067" s="71">
        <v>0</v>
      </c>
      <c r="F1067" s="71">
        <v>0</v>
      </c>
      <c r="G1067" s="72">
        <v>0</v>
      </c>
      <c r="H1067" s="72">
        <v>0</v>
      </c>
    </row>
    <row r="1068" spans="2:8" ht="12">
      <c r="B1068" s="64">
        <v>1062</v>
      </c>
      <c r="C1068" s="64" t="s">
        <v>1695</v>
      </c>
      <c r="D1068" s="66" t="s">
        <v>1485</v>
      </c>
      <c r="E1068" s="71">
        <v>0</v>
      </c>
      <c r="F1068" s="71">
        <v>0</v>
      </c>
      <c r="G1068" s="72">
        <v>0</v>
      </c>
      <c r="H1068" s="72">
        <v>0</v>
      </c>
    </row>
    <row r="1069" spans="2:8" ht="12">
      <c r="B1069" s="64">
        <v>1063</v>
      </c>
      <c r="C1069" s="64" t="s">
        <v>1564</v>
      </c>
      <c r="D1069" s="66" t="s">
        <v>1486</v>
      </c>
      <c r="E1069" s="71">
        <v>0</v>
      </c>
      <c r="F1069" s="71">
        <v>0</v>
      </c>
      <c r="G1069" s="72">
        <v>0</v>
      </c>
      <c r="H1069" s="72">
        <v>0</v>
      </c>
    </row>
    <row r="1070" spans="2:8" ht="12">
      <c r="B1070" s="64">
        <v>1064</v>
      </c>
      <c r="C1070" s="64" t="s">
        <v>2829</v>
      </c>
      <c r="D1070" s="66" t="s">
        <v>1638</v>
      </c>
      <c r="E1070" s="71">
        <v>0</v>
      </c>
      <c r="F1070" s="71">
        <v>0</v>
      </c>
      <c r="G1070" s="72">
        <v>0</v>
      </c>
      <c r="H1070" s="72">
        <v>0</v>
      </c>
    </row>
    <row r="1071" spans="2:8" ht="12">
      <c r="B1071" s="64">
        <v>1065</v>
      </c>
      <c r="C1071" s="64" t="s">
        <v>1639</v>
      </c>
      <c r="D1071" s="66" t="s">
        <v>2830</v>
      </c>
      <c r="E1071" s="71">
        <v>0</v>
      </c>
      <c r="F1071" s="71">
        <v>0</v>
      </c>
      <c r="G1071" s="72">
        <v>0</v>
      </c>
      <c r="H1071" s="72">
        <v>0</v>
      </c>
    </row>
    <row r="1072" spans="2:8" ht="12">
      <c r="B1072" s="64">
        <v>1066</v>
      </c>
      <c r="C1072" s="64" t="s">
        <v>654</v>
      </c>
      <c r="D1072" s="66" t="s">
        <v>1763</v>
      </c>
      <c r="E1072" s="71">
        <v>0</v>
      </c>
      <c r="F1072" s="71">
        <v>0</v>
      </c>
      <c r="G1072" s="72">
        <v>0</v>
      </c>
      <c r="H1072" s="72">
        <v>0</v>
      </c>
    </row>
    <row r="1073" spans="2:8" ht="12">
      <c r="B1073" s="64">
        <v>1067</v>
      </c>
      <c r="C1073" s="64" t="s">
        <v>2831</v>
      </c>
      <c r="D1073" s="66" t="s">
        <v>2832</v>
      </c>
      <c r="E1073" s="71">
        <v>0</v>
      </c>
      <c r="F1073" s="71">
        <v>0</v>
      </c>
      <c r="G1073" s="72">
        <v>0</v>
      </c>
      <c r="H1073" s="72">
        <v>0</v>
      </c>
    </row>
    <row r="1074" spans="2:8" ht="12">
      <c r="B1074" s="64">
        <v>1068</v>
      </c>
      <c r="C1074" s="64" t="s">
        <v>1231</v>
      </c>
      <c r="D1074" s="66" t="s">
        <v>1232</v>
      </c>
      <c r="E1074" s="71">
        <v>0</v>
      </c>
      <c r="F1074" s="71">
        <v>0</v>
      </c>
      <c r="G1074" s="72">
        <v>0</v>
      </c>
      <c r="H1074" s="72">
        <v>0</v>
      </c>
    </row>
    <row r="1075" spans="2:8" ht="12">
      <c r="B1075" s="64">
        <v>1069</v>
      </c>
      <c r="C1075" s="64" t="s">
        <v>2833</v>
      </c>
      <c r="D1075" s="66" t="s">
        <v>1941</v>
      </c>
      <c r="E1075" s="71">
        <v>0</v>
      </c>
      <c r="F1075" s="71">
        <v>0</v>
      </c>
      <c r="G1075" s="72">
        <v>0</v>
      </c>
      <c r="H1075" s="72">
        <v>0</v>
      </c>
    </row>
    <row r="1076" spans="2:8" ht="12">
      <c r="B1076" s="64">
        <v>1070</v>
      </c>
      <c r="C1076" s="64" t="s">
        <v>1233</v>
      </c>
      <c r="D1076" s="66" t="s">
        <v>1898</v>
      </c>
      <c r="E1076" s="71">
        <v>0</v>
      </c>
      <c r="F1076" s="71">
        <v>0</v>
      </c>
      <c r="G1076" s="72">
        <v>0</v>
      </c>
      <c r="H1076" s="72">
        <v>0</v>
      </c>
    </row>
    <row r="1077" spans="2:8" ht="12">
      <c r="B1077" s="64">
        <v>1071</v>
      </c>
      <c r="C1077" s="64" t="s">
        <v>1487</v>
      </c>
      <c r="D1077" s="66" t="s">
        <v>2834</v>
      </c>
      <c r="E1077" s="71">
        <v>6000</v>
      </c>
      <c r="F1077" s="71">
        <v>6000</v>
      </c>
      <c r="G1077" s="72">
        <v>3000</v>
      </c>
      <c r="H1077" s="72">
        <v>3000</v>
      </c>
    </row>
    <row r="1078" spans="2:8" ht="12">
      <c r="B1078" s="64">
        <v>1072</v>
      </c>
      <c r="C1078" s="64" t="s">
        <v>2835</v>
      </c>
      <c r="D1078" s="66" t="s">
        <v>655</v>
      </c>
      <c r="E1078" s="71">
        <v>0</v>
      </c>
      <c r="F1078" s="71">
        <v>0</v>
      </c>
      <c r="G1078" s="72">
        <v>0</v>
      </c>
      <c r="H1078" s="72">
        <v>0</v>
      </c>
    </row>
    <row r="1079" spans="2:8" ht="12">
      <c r="B1079" s="64">
        <v>1073</v>
      </c>
      <c r="C1079" s="64" t="s">
        <v>1234</v>
      </c>
      <c r="D1079" s="66" t="s">
        <v>1640</v>
      </c>
      <c r="E1079" s="71">
        <v>0</v>
      </c>
      <c r="F1079" s="71">
        <v>0</v>
      </c>
      <c r="G1079" s="72">
        <v>0</v>
      </c>
      <c r="H1079" s="72">
        <v>0</v>
      </c>
    </row>
    <row r="1080" spans="2:8" ht="12">
      <c r="B1080" s="64">
        <v>1074</v>
      </c>
      <c r="C1080" s="64" t="s">
        <v>1565</v>
      </c>
      <c r="D1080" s="66" t="s">
        <v>1235</v>
      </c>
      <c r="E1080" s="71">
        <v>0</v>
      </c>
      <c r="F1080" s="71">
        <v>0</v>
      </c>
      <c r="G1080" s="72">
        <v>0</v>
      </c>
      <c r="H1080" s="72">
        <v>0</v>
      </c>
    </row>
    <row r="1081" spans="2:8" ht="12">
      <c r="B1081" s="64">
        <v>1075</v>
      </c>
      <c r="C1081" s="64" t="s">
        <v>1488</v>
      </c>
      <c r="D1081" s="66" t="s">
        <v>1236</v>
      </c>
      <c r="E1081" s="71">
        <v>0</v>
      </c>
      <c r="F1081" s="71">
        <v>0</v>
      </c>
      <c r="G1081" s="72">
        <v>0</v>
      </c>
      <c r="H1081" s="72">
        <v>0</v>
      </c>
    </row>
    <row r="1082" spans="2:8" ht="12">
      <c r="B1082" s="64">
        <v>1076</v>
      </c>
      <c r="C1082" s="64" t="s">
        <v>1237</v>
      </c>
      <c r="D1082" s="66" t="s">
        <v>1489</v>
      </c>
      <c r="E1082" s="71">
        <v>0</v>
      </c>
      <c r="F1082" s="71">
        <v>0</v>
      </c>
      <c r="G1082" s="72">
        <v>0</v>
      </c>
      <c r="H1082" s="72">
        <v>0</v>
      </c>
    </row>
    <row r="1083" spans="2:8" ht="12">
      <c r="B1083" s="64">
        <v>1077</v>
      </c>
      <c r="C1083" s="64" t="s">
        <v>2836</v>
      </c>
      <c r="D1083" s="66" t="s">
        <v>1764</v>
      </c>
      <c r="E1083" s="71">
        <v>0</v>
      </c>
      <c r="F1083" s="71">
        <v>0</v>
      </c>
      <c r="G1083" s="72">
        <v>0</v>
      </c>
      <c r="H1083" s="72">
        <v>0</v>
      </c>
    </row>
    <row r="1084" spans="2:8" ht="12">
      <c r="B1084" s="64">
        <v>1078</v>
      </c>
      <c r="C1084" s="64" t="s">
        <v>2837</v>
      </c>
      <c r="D1084" s="66" t="s">
        <v>656</v>
      </c>
      <c r="E1084" s="71">
        <v>0</v>
      </c>
      <c r="F1084" s="71">
        <v>0</v>
      </c>
      <c r="G1084" s="72">
        <v>0</v>
      </c>
      <c r="H1084" s="72">
        <v>0</v>
      </c>
    </row>
    <row r="1085" spans="2:8" ht="12">
      <c r="B1085" s="64">
        <v>1079</v>
      </c>
      <c r="C1085" s="64" t="s">
        <v>1490</v>
      </c>
      <c r="D1085" s="66" t="s">
        <v>1238</v>
      </c>
      <c r="E1085" s="71">
        <v>0</v>
      </c>
      <c r="F1085" s="71">
        <v>0</v>
      </c>
      <c r="G1085" s="72">
        <v>0</v>
      </c>
      <c r="H1085" s="72">
        <v>0</v>
      </c>
    </row>
    <row r="1086" spans="2:8" ht="12">
      <c r="B1086" s="64">
        <v>1080</v>
      </c>
      <c r="C1086" s="64" t="s">
        <v>1844</v>
      </c>
      <c r="D1086" s="66" t="s">
        <v>1641</v>
      </c>
      <c r="E1086" s="71">
        <v>0</v>
      </c>
      <c r="F1086" s="71">
        <v>0</v>
      </c>
      <c r="G1086" s="72">
        <v>0</v>
      </c>
      <c r="H1086" s="72">
        <v>0</v>
      </c>
    </row>
    <row r="1087" spans="2:8" ht="12">
      <c r="B1087" s="64">
        <v>1081</v>
      </c>
      <c r="C1087" s="64" t="s">
        <v>1918</v>
      </c>
      <c r="D1087" s="66" t="s">
        <v>1952</v>
      </c>
      <c r="E1087" s="71">
        <v>0</v>
      </c>
      <c r="F1087" s="71">
        <v>0</v>
      </c>
      <c r="G1087" s="72">
        <v>0</v>
      </c>
      <c r="H1087" s="72">
        <v>0</v>
      </c>
    </row>
    <row r="1088" spans="2:8" ht="12">
      <c r="B1088" s="64">
        <v>1082</v>
      </c>
      <c r="C1088" s="64" t="s">
        <v>2838</v>
      </c>
      <c r="D1088" s="66" t="s">
        <v>1566</v>
      </c>
      <c r="E1088" s="71">
        <v>0</v>
      </c>
      <c r="F1088" s="71">
        <v>0</v>
      </c>
      <c r="G1088" s="72">
        <v>0</v>
      </c>
      <c r="H1088" s="72">
        <v>0</v>
      </c>
    </row>
    <row r="1089" spans="2:8" ht="12">
      <c r="B1089" s="64">
        <v>1083</v>
      </c>
      <c r="C1089" s="64" t="s">
        <v>1491</v>
      </c>
      <c r="D1089" s="66" t="s">
        <v>657</v>
      </c>
      <c r="E1089" s="71">
        <v>0</v>
      </c>
      <c r="F1089" s="71">
        <v>0</v>
      </c>
      <c r="G1089" s="72">
        <v>0</v>
      </c>
      <c r="H1089" s="72">
        <v>0</v>
      </c>
    </row>
    <row r="1090" spans="2:8" ht="12">
      <c r="B1090" s="64">
        <v>1084</v>
      </c>
      <c r="C1090" s="64" t="s">
        <v>1492</v>
      </c>
      <c r="D1090" s="66" t="s">
        <v>2839</v>
      </c>
      <c r="E1090" s="71">
        <v>0</v>
      </c>
      <c r="F1090" s="71">
        <v>0</v>
      </c>
      <c r="G1090" s="72">
        <v>0</v>
      </c>
      <c r="H1090" s="72">
        <v>0</v>
      </c>
    </row>
    <row r="1091" spans="2:8" ht="12">
      <c r="B1091" s="64">
        <v>1085</v>
      </c>
      <c r="C1091" s="64" t="s">
        <v>2840</v>
      </c>
      <c r="D1091" s="66" t="s">
        <v>1239</v>
      </c>
      <c r="E1091" s="71">
        <v>0</v>
      </c>
      <c r="F1091" s="71">
        <v>0</v>
      </c>
      <c r="G1091" s="72">
        <v>0</v>
      </c>
      <c r="H1091" s="72">
        <v>0</v>
      </c>
    </row>
    <row r="1092" spans="2:8" ht="12">
      <c r="B1092" s="64">
        <v>1086</v>
      </c>
      <c r="C1092" s="64" t="s">
        <v>2841</v>
      </c>
      <c r="D1092" s="66" t="s">
        <v>2842</v>
      </c>
      <c r="E1092" s="71">
        <v>0</v>
      </c>
      <c r="F1092" s="71">
        <v>0</v>
      </c>
      <c r="G1092" s="72">
        <v>0</v>
      </c>
      <c r="H1092" s="72">
        <v>0</v>
      </c>
    </row>
    <row r="1093" spans="2:8" ht="12">
      <c r="B1093" s="64">
        <v>1087</v>
      </c>
      <c r="C1093" s="64" t="s">
        <v>2843</v>
      </c>
      <c r="D1093" s="66" t="s">
        <v>1804</v>
      </c>
      <c r="E1093" s="71">
        <v>0</v>
      </c>
      <c r="F1093" s="71">
        <v>0</v>
      </c>
      <c r="G1093" s="72">
        <v>0</v>
      </c>
      <c r="H1093" s="72">
        <v>0</v>
      </c>
    </row>
    <row r="1094" spans="2:8" ht="12">
      <c r="B1094" s="64">
        <v>1088</v>
      </c>
      <c r="C1094" s="64" t="s">
        <v>2844</v>
      </c>
      <c r="D1094" s="66" t="s">
        <v>2845</v>
      </c>
      <c r="E1094" s="71">
        <v>0</v>
      </c>
      <c r="F1094" s="71">
        <v>0</v>
      </c>
      <c r="G1094" s="72">
        <v>0</v>
      </c>
      <c r="H1094" s="72">
        <v>0</v>
      </c>
    </row>
    <row r="1095" spans="2:8" ht="12">
      <c r="B1095" s="64">
        <v>1089</v>
      </c>
      <c r="C1095" s="64" t="s">
        <v>1240</v>
      </c>
      <c r="D1095" s="66" t="s">
        <v>1642</v>
      </c>
      <c r="E1095" s="71">
        <v>0</v>
      </c>
      <c r="F1095" s="71">
        <v>0</v>
      </c>
      <c r="G1095" s="72">
        <v>0</v>
      </c>
      <c r="H1095" s="72">
        <v>0</v>
      </c>
    </row>
    <row r="1096" spans="2:8" ht="12">
      <c r="B1096" s="64">
        <v>1090</v>
      </c>
      <c r="C1096" s="64" t="s">
        <v>1919</v>
      </c>
      <c r="D1096" s="66" t="s">
        <v>2846</v>
      </c>
      <c r="E1096" s="71">
        <v>0</v>
      </c>
      <c r="F1096" s="71">
        <v>0</v>
      </c>
      <c r="G1096" s="72">
        <v>0</v>
      </c>
      <c r="H1096" s="72">
        <v>0</v>
      </c>
    </row>
    <row r="1097" spans="2:8" ht="12">
      <c r="B1097" s="64">
        <v>1091</v>
      </c>
      <c r="C1097" s="64" t="s">
        <v>1845</v>
      </c>
      <c r="D1097" s="66" t="s">
        <v>1241</v>
      </c>
      <c r="E1097" s="71">
        <v>0</v>
      </c>
      <c r="F1097" s="71">
        <v>0</v>
      </c>
      <c r="G1097" s="72">
        <v>0</v>
      </c>
      <c r="H1097" s="72">
        <v>0</v>
      </c>
    </row>
    <row r="1098" spans="2:8" ht="12">
      <c r="B1098" s="64">
        <v>1092</v>
      </c>
      <c r="C1098" s="64" t="s">
        <v>1765</v>
      </c>
      <c r="D1098" s="66" t="s">
        <v>658</v>
      </c>
      <c r="E1098" s="71">
        <v>0</v>
      </c>
      <c r="F1098" s="71">
        <v>0</v>
      </c>
      <c r="G1098" s="72">
        <v>0</v>
      </c>
      <c r="H1098" s="72">
        <v>0</v>
      </c>
    </row>
    <row r="1099" spans="2:8" ht="12">
      <c r="B1099" s="64">
        <v>1093</v>
      </c>
      <c r="C1099" s="64" t="s">
        <v>1242</v>
      </c>
      <c r="D1099" s="66" t="s">
        <v>1243</v>
      </c>
      <c r="E1099" s="71">
        <v>0</v>
      </c>
      <c r="F1099" s="71">
        <v>0</v>
      </c>
      <c r="G1099" s="72">
        <v>0</v>
      </c>
      <c r="H1099" s="72">
        <v>0</v>
      </c>
    </row>
    <row r="1100" spans="2:8" ht="12">
      <c r="B1100" s="64">
        <v>1094</v>
      </c>
      <c r="C1100" s="64" t="s">
        <v>2847</v>
      </c>
      <c r="D1100" s="66" t="s">
        <v>1932</v>
      </c>
      <c r="E1100" s="71">
        <v>0</v>
      </c>
      <c r="F1100" s="71">
        <v>0</v>
      </c>
      <c r="G1100" s="72">
        <v>0</v>
      </c>
      <c r="H1100" s="72">
        <v>0</v>
      </c>
    </row>
    <row r="1101" spans="2:8" ht="12">
      <c r="B1101" s="64">
        <v>1095</v>
      </c>
      <c r="C1101" s="64" t="s">
        <v>1643</v>
      </c>
      <c r="D1101" s="66" t="s">
        <v>2848</v>
      </c>
      <c r="E1101" s="71">
        <v>0</v>
      </c>
      <c r="F1101" s="71">
        <v>0</v>
      </c>
      <c r="G1101" s="72">
        <v>0</v>
      </c>
      <c r="H1101" s="72">
        <v>0</v>
      </c>
    </row>
    <row r="1102" spans="2:8" ht="12">
      <c r="B1102" s="64">
        <v>1096</v>
      </c>
      <c r="C1102" s="64" t="s">
        <v>1244</v>
      </c>
      <c r="D1102" s="66" t="s">
        <v>1245</v>
      </c>
      <c r="E1102" s="71">
        <v>0</v>
      </c>
      <c r="F1102" s="71">
        <v>0</v>
      </c>
      <c r="G1102" s="72">
        <v>0</v>
      </c>
      <c r="H1102" s="72">
        <v>0</v>
      </c>
    </row>
    <row r="1103" spans="2:8" ht="12">
      <c r="B1103" s="64">
        <v>1097</v>
      </c>
      <c r="C1103" s="64" t="s">
        <v>1246</v>
      </c>
      <c r="D1103" s="66" t="s">
        <v>2849</v>
      </c>
      <c r="E1103" s="71">
        <v>0</v>
      </c>
      <c r="F1103" s="71">
        <v>0</v>
      </c>
      <c r="G1103" s="72">
        <v>0</v>
      </c>
      <c r="H1103" s="72">
        <v>0</v>
      </c>
    </row>
    <row r="1104" spans="2:8" ht="12">
      <c r="B1104" s="64">
        <v>1098</v>
      </c>
      <c r="C1104" s="64" t="s">
        <v>659</v>
      </c>
      <c r="D1104" s="66" t="s">
        <v>2850</v>
      </c>
      <c r="E1104" s="71">
        <v>0</v>
      </c>
      <c r="F1104" s="71">
        <v>0</v>
      </c>
      <c r="G1104" s="72">
        <v>0</v>
      </c>
      <c r="H1104" s="72">
        <v>0</v>
      </c>
    </row>
    <row r="1105" spans="2:8" ht="12">
      <c r="B1105" s="64">
        <v>1099</v>
      </c>
      <c r="C1105" s="64" t="s">
        <v>1863</v>
      </c>
      <c r="D1105" s="66" t="s">
        <v>1885</v>
      </c>
      <c r="E1105" s="71">
        <v>90300</v>
      </c>
      <c r="F1105" s="71">
        <v>90300</v>
      </c>
      <c r="G1105" s="72">
        <v>33600</v>
      </c>
      <c r="H1105" s="72">
        <v>56700</v>
      </c>
    </row>
    <row r="1106" spans="2:8" ht="12">
      <c r="B1106" s="64">
        <v>1100</v>
      </c>
      <c r="C1106" s="64" t="s">
        <v>1247</v>
      </c>
      <c r="D1106" s="66" t="s">
        <v>1248</v>
      </c>
      <c r="E1106" s="71">
        <v>0</v>
      </c>
      <c r="F1106" s="71">
        <v>0</v>
      </c>
      <c r="G1106" s="72">
        <v>0</v>
      </c>
      <c r="H1106" s="72">
        <v>0</v>
      </c>
    </row>
    <row r="1107" spans="2:8" ht="12">
      <c r="B1107" s="64">
        <v>1101</v>
      </c>
      <c r="C1107" s="64" t="s">
        <v>1249</v>
      </c>
      <c r="D1107" s="66" t="s">
        <v>1250</v>
      </c>
      <c r="E1107" s="71">
        <v>0</v>
      </c>
      <c r="F1107" s="71">
        <v>0</v>
      </c>
      <c r="G1107" s="72">
        <v>0</v>
      </c>
      <c r="H1107" s="72">
        <v>0</v>
      </c>
    </row>
    <row r="1108" spans="2:8" ht="12">
      <c r="B1108" s="64">
        <v>1102</v>
      </c>
      <c r="C1108" s="64" t="s">
        <v>1644</v>
      </c>
      <c r="D1108" s="66" t="s">
        <v>1251</v>
      </c>
      <c r="E1108" s="71">
        <v>0</v>
      </c>
      <c r="F1108" s="71">
        <v>0</v>
      </c>
      <c r="G1108" s="72">
        <v>0</v>
      </c>
      <c r="H1108" s="72">
        <v>0</v>
      </c>
    </row>
    <row r="1109" spans="2:8" ht="12">
      <c r="B1109" s="64">
        <v>1103</v>
      </c>
      <c r="C1109" s="64" t="s">
        <v>1252</v>
      </c>
      <c r="D1109" s="66" t="s">
        <v>2851</v>
      </c>
      <c r="E1109" s="71">
        <v>0</v>
      </c>
      <c r="F1109" s="71">
        <v>0</v>
      </c>
      <c r="G1109" s="72">
        <v>0</v>
      </c>
      <c r="H1109" s="72">
        <v>0</v>
      </c>
    </row>
    <row r="1110" spans="2:8" ht="12">
      <c r="B1110" s="64">
        <v>1104</v>
      </c>
      <c r="C1110" s="64" t="s">
        <v>2852</v>
      </c>
      <c r="D1110" s="66" t="s">
        <v>2853</v>
      </c>
      <c r="E1110" s="71">
        <v>10400</v>
      </c>
      <c r="F1110" s="71">
        <v>10400</v>
      </c>
      <c r="G1110" s="72">
        <v>5200</v>
      </c>
      <c r="H1110" s="72">
        <v>5200</v>
      </c>
    </row>
    <row r="1111" spans="2:8" ht="12">
      <c r="B1111" s="64">
        <v>1105</v>
      </c>
      <c r="C1111" s="64" t="s">
        <v>2854</v>
      </c>
      <c r="D1111" s="66" t="s">
        <v>1645</v>
      </c>
      <c r="E1111" s="71">
        <v>4400</v>
      </c>
      <c r="F1111" s="71">
        <v>4400</v>
      </c>
      <c r="G1111" s="72">
        <v>0</v>
      </c>
      <c r="H1111" s="72">
        <v>4400</v>
      </c>
    </row>
    <row r="1112" spans="2:8" ht="12">
      <c r="B1112" s="64">
        <v>1106</v>
      </c>
      <c r="C1112" s="64" t="s">
        <v>1493</v>
      </c>
      <c r="D1112" s="66" t="s">
        <v>1646</v>
      </c>
      <c r="E1112" s="71">
        <v>31400</v>
      </c>
      <c r="F1112" s="71">
        <v>31400</v>
      </c>
      <c r="G1112" s="72">
        <v>15700</v>
      </c>
      <c r="H1112" s="72">
        <v>15700</v>
      </c>
    </row>
    <row r="1113" spans="2:8" ht="12">
      <c r="B1113" s="64">
        <v>1107</v>
      </c>
      <c r="C1113" s="64" t="s">
        <v>660</v>
      </c>
      <c r="D1113" s="66" t="s">
        <v>1494</v>
      </c>
      <c r="E1113" s="71">
        <v>0</v>
      </c>
      <c r="F1113" s="71">
        <v>0</v>
      </c>
      <c r="G1113" s="72">
        <v>0</v>
      </c>
      <c r="H1113" s="72">
        <v>0</v>
      </c>
    </row>
    <row r="1114" spans="2:8" ht="12">
      <c r="B1114" s="64">
        <v>1108</v>
      </c>
      <c r="C1114" s="64" t="s">
        <v>1805</v>
      </c>
      <c r="D1114" s="66" t="s">
        <v>2855</v>
      </c>
      <c r="E1114" s="71">
        <v>0</v>
      </c>
      <c r="F1114" s="71">
        <v>0</v>
      </c>
      <c r="G1114" s="72">
        <v>0</v>
      </c>
      <c r="H1114" s="72">
        <v>0</v>
      </c>
    </row>
    <row r="1115" spans="2:8" ht="12">
      <c r="B1115" s="64">
        <v>1109</v>
      </c>
      <c r="C1115" s="64" t="s">
        <v>1766</v>
      </c>
      <c r="D1115" s="66" t="s">
        <v>1253</v>
      </c>
      <c r="E1115" s="71">
        <v>0</v>
      </c>
      <c r="F1115" s="71">
        <v>0</v>
      </c>
      <c r="G1115" s="72">
        <v>0</v>
      </c>
      <c r="H1115" s="72">
        <v>0</v>
      </c>
    </row>
    <row r="1116" spans="2:8" ht="12">
      <c r="B1116" s="64">
        <v>1110</v>
      </c>
      <c r="C1116" s="64" t="s">
        <v>2856</v>
      </c>
      <c r="D1116" s="66" t="s">
        <v>2857</v>
      </c>
      <c r="E1116" s="71">
        <v>0</v>
      </c>
      <c r="F1116" s="71">
        <v>0</v>
      </c>
      <c r="G1116" s="72">
        <v>0</v>
      </c>
      <c r="H1116" s="72">
        <v>0</v>
      </c>
    </row>
    <row r="1117" spans="2:8" ht="12">
      <c r="B1117" s="64">
        <v>1111</v>
      </c>
      <c r="C1117" s="64" t="s">
        <v>1254</v>
      </c>
      <c r="D1117" s="66" t="s">
        <v>1846</v>
      </c>
      <c r="E1117" s="71">
        <v>0</v>
      </c>
      <c r="F1117" s="71">
        <v>0</v>
      </c>
      <c r="G1117" s="72">
        <v>0</v>
      </c>
      <c r="H1117" s="72">
        <v>0</v>
      </c>
    </row>
    <row r="1118" spans="2:8" ht="12">
      <c r="B1118" s="64">
        <v>1112</v>
      </c>
      <c r="C1118" s="64" t="s">
        <v>1767</v>
      </c>
      <c r="D1118" s="66" t="s">
        <v>1886</v>
      </c>
      <c r="E1118" s="71">
        <v>0</v>
      </c>
      <c r="F1118" s="71">
        <v>0</v>
      </c>
      <c r="G1118" s="72">
        <v>0</v>
      </c>
      <c r="H1118" s="72">
        <v>0</v>
      </c>
    </row>
    <row r="1119" spans="2:8" ht="12">
      <c r="B1119" s="64">
        <v>1113</v>
      </c>
      <c r="C1119" s="64" t="s">
        <v>1255</v>
      </c>
      <c r="D1119" s="66" t="s">
        <v>1820</v>
      </c>
      <c r="E1119" s="71">
        <v>0</v>
      </c>
      <c r="F1119" s="71">
        <v>0</v>
      </c>
      <c r="G1119" s="72">
        <v>0</v>
      </c>
      <c r="H1119" s="72">
        <v>0</v>
      </c>
    </row>
    <row r="1120" spans="2:8" ht="12">
      <c r="B1120" s="64">
        <v>1114</v>
      </c>
      <c r="C1120" s="64" t="s">
        <v>1647</v>
      </c>
      <c r="D1120" s="66" t="s">
        <v>661</v>
      </c>
      <c r="E1120" s="71">
        <v>0</v>
      </c>
      <c r="F1120" s="71">
        <v>0</v>
      </c>
      <c r="G1120" s="72">
        <v>0</v>
      </c>
      <c r="H1120" s="72">
        <v>0</v>
      </c>
    </row>
    <row r="1121" spans="2:8" ht="12">
      <c r="B1121" s="64">
        <v>1115</v>
      </c>
      <c r="C1121" s="64" t="s">
        <v>1256</v>
      </c>
      <c r="D1121" s="66" t="s">
        <v>2858</v>
      </c>
      <c r="E1121" s="71">
        <v>0</v>
      </c>
      <c r="F1121" s="71">
        <v>0</v>
      </c>
      <c r="G1121" s="72">
        <v>0</v>
      </c>
      <c r="H1121" s="72">
        <v>0</v>
      </c>
    </row>
    <row r="1122" spans="2:8" ht="12">
      <c r="B1122" s="64">
        <v>1116</v>
      </c>
      <c r="C1122" s="64" t="s">
        <v>1696</v>
      </c>
      <c r="D1122" s="66" t="s">
        <v>1257</v>
      </c>
      <c r="E1122" s="71">
        <v>0</v>
      </c>
      <c r="F1122" s="71">
        <v>0</v>
      </c>
      <c r="G1122" s="72">
        <v>0</v>
      </c>
      <c r="H1122" s="72">
        <v>0</v>
      </c>
    </row>
    <row r="1123" spans="2:8" ht="12">
      <c r="B1123" s="64">
        <v>1117</v>
      </c>
      <c r="C1123" s="64" t="s">
        <v>1258</v>
      </c>
      <c r="D1123" s="66" t="s">
        <v>1259</v>
      </c>
      <c r="E1123" s="71">
        <v>0</v>
      </c>
      <c r="F1123" s="71">
        <v>0</v>
      </c>
      <c r="G1123" s="72">
        <v>0</v>
      </c>
      <c r="H1123" s="72">
        <v>0</v>
      </c>
    </row>
    <row r="1124" spans="2:8" ht="12">
      <c r="B1124" s="64">
        <v>1118</v>
      </c>
      <c r="C1124" s="64" t="s">
        <v>2859</v>
      </c>
      <c r="D1124" s="66" t="s">
        <v>1260</v>
      </c>
      <c r="E1124" s="71">
        <v>0</v>
      </c>
      <c r="F1124" s="71">
        <v>0</v>
      </c>
      <c r="G1124" s="72">
        <v>0</v>
      </c>
      <c r="H1124" s="72">
        <v>0</v>
      </c>
    </row>
    <row r="1125" spans="2:8" ht="12">
      <c r="B1125" s="64">
        <v>1119</v>
      </c>
      <c r="C1125" s="64" t="s">
        <v>2860</v>
      </c>
      <c r="D1125" s="66" t="s">
        <v>1261</v>
      </c>
      <c r="E1125" s="71">
        <v>3300</v>
      </c>
      <c r="F1125" s="71">
        <v>3300</v>
      </c>
      <c r="G1125" s="72">
        <v>0</v>
      </c>
      <c r="H1125" s="72">
        <v>3300</v>
      </c>
    </row>
    <row r="1126" spans="2:8" ht="12">
      <c r="B1126" s="64">
        <v>1120</v>
      </c>
      <c r="C1126" s="64" t="s">
        <v>1262</v>
      </c>
      <c r="D1126" s="66" t="s">
        <v>1648</v>
      </c>
      <c r="E1126" s="71">
        <v>0</v>
      </c>
      <c r="F1126" s="71">
        <v>0</v>
      </c>
      <c r="G1126" s="72">
        <v>0</v>
      </c>
      <c r="H1126" s="72">
        <v>0</v>
      </c>
    </row>
    <row r="1127" spans="2:8" ht="12">
      <c r="B1127" s="64">
        <v>1121</v>
      </c>
      <c r="C1127" s="64" t="s">
        <v>1263</v>
      </c>
      <c r="D1127" s="66" t="s">
        <v>1567</v>
      </c>
      <c r="E1127" s="71">
        <v>0</v>
      </c>
      <c r="F1127" s="71">
        <v>0</v>
      </c>
      <c r="G1127" s="72">
        <v>0</v>
      </c>
      <c r="H1127" s="72">
        <v>0</v>
      </c>
    </row>
    <row r="1128" spans="2:8" ht="12">
      <c r="B1128" s="64">
        <v>1122</v>
      </c>
      <c r="C1128" s="64" t="s">
        <v>2861</v>
      </c>
      <c r="D1128" s="66" t="s">
        <v>1697</v>
      </c>
      <c r="E1128" s="71">
        <v>0</v>
      </c>
      <c r="F1128" s="71">
        <v>0</v>
      </c>
      <c r="G1128" s="72">
        <v>0</v>
      </c>
      <c r="H1128" s="72">
        <v>0</v>
      </c>
    </row>
    <row r="1129" spans="2:8" ht="12">
      <c r="B1129" s="64">
        <v>1123</v>
      </c>
      <c r="C1129" s="64" t="s">
        <v>2862</v>
      </c>
      <c r="D1129" s="66" t="s">
        <v>1495</v>
      </c>
      <c r="E1129" s="71">
        <v>0</v>
      </c>
      <c r="F1129" s="71">
        <v>0</v>
      </c>
      <c r="G1129" s="72">
        <v>0</v>
      </c>
      <c r="H1129" s="72">
        <v>0</v>
      </c>
    </row>
    <row r="1130" spans="2:8" ht="12">
      <c r="B1130" s="64">
        <v>1124</v>
      </c>
      <c r="C1130" s="64" t="s">
        <v>1649</v>
      </c>
      <c r="D1130" s="66" t="s">
        <v>662</v>
      </c>
      <c r="E1130" s="71">
        <v>0</v>
      </c>
      <c r="F1130" s="71">
        <v>0</v>
      </c>
      <c r="G1130" s="72">
        <v>0</v>
      </c>
      <c r="H1130" s="72">
        <v>0</v>
      </c>
    </row>
    <row r="1131" spans="2:8" ht="12">
      <c r="B1131" s="64">
        <v>1125</v>
      </c>
      <c r="C1131" s="64" t="s">
        <v>1264</v>
      </c>
      <c r="D1131" s="66" t="s">
        <v>2863</v>
      </c>
      <c r="E1131" s="71">
        <v>0</v>
      </c>
      <c r="F1131" s="71">
        <v>0</v>
      </c>
      <c r="G1131" s="72">
        <v>0</v>
      </c>
      <c r="H1131" s="72">
        <v>0</v>
      </c>
    </row>
    <row r="1132" spans="2:8" ht="12">
      <c r="B1132" s="64">
        <v>1126</v>
      </c>
      <c r="C1132" s="64" t="s">
        <v>2864</v>
      </c>
      <c r="D1132" s="66" t="s">
        <v>1496</v>
      </c>
      <c r="E1132" s="71">
        <v>0</v>
      </c>
      <c r="F1132" s="71">
        <v>0</v>
      </c>
      <c r="G1132" s="72">
        <v>0</v>
      </c>
      <c r="H1132" s="72">
        <v>0</v>
      </c>
    </row>
    <row r="1133" spans="2:8" ht="12">
      <c r="B1133" s="64">
        <v>1127</v>
      </c>
      <c r="C1133" s="64" t="s">
        <v>1265</v>
      </c>
      <c r="D1133" s="66" t="s">
        <v>1266</v>
      </c>
      <c r="E1133" s="71">
        <v>0</v>
      </c>
      <c r="F1133" s="71">
        <v>0</v>
      </c>
      <c r="G1133" s="72">
        <v>0</v>
      </c>
      <c r="H1133" s="72">
        <v>0</v>
      </c>
    </row>
    <row r="1134" spans="2:8" ht="12">
      <c r="B1134" s="64">
        <v>1128</v>
      </c>
      <c r="C1134" s="64" t="s">
        <v>663</v>
      </c>
      <c r="D1134" s="66" t="s">
        <v>1650</v>
      </c>
      <c r="E1134" s="71">
        <v>0</v>
      </c>
      <c r="F1134" s="71">
        <v>0</v>
      </c>
      <c r="G1134" s="72">
        <v>0</v>
      </c>
      <c r="H1134" s="72">
        <v>0</v>
      </c>
    </row>
    <row r="1135" spans="2:8" ht="12">
      <c r="B1135" s="64">
        <v>1129</v>
      </c>
      <c r="C1135" s="64" t="s">
        <v>1267</v>
      </c>
      <c r="D1135" s="66" t="s">
        <v>2865</v>
      </c>
      <c r="E1135" s="71">
        <v>0</v>
      </c>
      <c r="F1135" s="71">
        <v>0</v>
      </c>
      <c r="G1135" s="72">
        <v>0</v>
      </c>
      <c r="H1135" s="72">
        <v>0</v>
      </c>
    </row>
    <row r="1136" spans="2:8" ht="12">
      <c r="B1136" s="64">
        <v>1130</v>
      </c>
      <c r="C1136" s="64" t="s">
        <v>1953</v>
      </c>
      <c r="D1136" s="66" t="s">
        <v>1651</v>
      </c>
      <c r="E1136" s="71">
        <v>0</v>
      </c>
      <c r="F1136" s="71">
        <v>0</v>
      </c>
      <c r="G1136" s="72">
        <v>0</v>
      </c>
      <c r="H1136" s="72">
        <v>0</v>
      </c>
    </row>
    <row r="1137" spans="2:8" ht="12">
      <c r="B1137" s="64">
        <v>1131</v>
      </c>
      <c r="C1137" s="64" t="s">
        <v>1497</v>
      </c>
      <c r="D1137" s="66" t="s">
        <v>2866</v>
      </c>
      <c r="E1137" s="71">
        <v>0</v>
      </c>
      <c r="F1137" s="71">
        <v>0</v>
      </c>
      <c r="G1137" s="72">
        <v>0</v>
      </c>
      <c r="H1137" s="72">
        <v>0</v>
      </c>
    </row>
    <row r="1138" spans="2:8" ht="12">
      <c r="B1138" s="64">
        <v>1132</v>
      </c>
      <c r="C1138" s="64" t="s">
        <v>2867</v>
      </c>
      <c r="D1138" s="66" t="s">
        <v>664</v>
      </c>
      <c r="E1138" s="71">
        <v>0</v>
      </c>
      <c r="F1138" s="71">
        <v>0</v>
      </c>
      <c r="G1138" s="72">
        <v>0</v>
      </c>
      <c r="H1138" s="72">
        <v>0</v>
      </c>
    </row>
    <row r="1139" spans="2:8" ht="12">
      <c r="B1139" s="64">
        <v>1133</v>
      </c>
      <c r="C1139" s="64" t="s">
        <v>1768</v>
      </c>
      <c r="D1139" s="66" t="s">
        <v>1498</v>
      </c>
      <c r="E1139" s="71">
        <v>0</v>
      </c>
      <c r="F1139" s="71">
        <v>0</v>
      </c>
      <c r="G1139" s="72">
        <v>0</v>
      </c>
      <c r="H1139" s="72">
        <v>0</v>
      </c>
    </row>
    <row r="1140" spans="2:8" ht="12">
      <c r="B1140" s="64">
        <v>1134</v>
      </c>
      <c r="C1140" s="64" t="s">
        <v>1268</v>
      </c>
      <c r="D1140" s="66" t="s">
        <v>2868</v>
      </c>
      <c r="E1140" s="71">
        <v>0</v>
      </c>
      <c r="F1140" s="71">
        <v>0</v>
      </c>
      <c r="G1140" s="72">
        <v>0</v>
      </c>
      <c r="H1140" s="72">
        <v>0</v>
      </c>
    </row>
    <row r="1141" spans="2:8" ht="12">
      <c r="B1141" s="64">
        <v>1135</v>
      </c>
      <c r="C1141" s="64" t="s">
        <v>2869</v>
      </c>
      <c r="D1141" s="66" t="s">
        <v>2870</v>
      </c>
      <c r="E1141" s="71">
        <v>0</v>
      </c>
      <c r="F1141" s="71">
        <v>0</v>
      </c>
      <c r="G1141" s="72">
        <v>0</v>
      </c>
      <c r="H1141" s="72">
        <v>0</v>
      </c>
    </row>
    <row r="1142" spans="2:8" ht="12">
      <c r="B1142" s="64">
        <v>1136</v>
      </c>
      <c r="C1142" s="64" t="s">
        <v>1269</v>
      </c>
      <c r="D1142" s="66" t="s">
        <v>1270</v>
      </c>
      <c r="E1142" s="71">
        <v>0</v>
      </c>
      <c r="F1142" s="71">
        <v>0</v>
      </c>
      <c r="G1142" s="72">
        <v>0</v>
      </c>
      <c r="H1142" s="72">
        <v>0</v>
      </c>
    </row>
    <row r="1143" spans="2:8" ht="12">
      <c r="B1143" s="64">
        <v>1137</v>
      </c>
      <c r="C1143" s="64" t="s">
        <v>1769</v>
      </c>
      <c r="D1143" s="66" t="s">
        <v>2871</v>
      </c>
      <c r="E1143" s="71">
        <v>0</v>
      </c>
      <c r="F1143" s="71">
        <v>0</v>
      </c>
      <c r="G1143" s="72">
        <v>0</v>
      </c>
      <c r="H1143" s="72">
        <v>0</v>
      </c>
    </row>
    <row r="1144" spans="2:8" ht="12">
      <c r="B1144" s="64">
        <v>1138</v>
      </c>
      <c r="C1144" s="64" t="s">
        <v>1271</v>
      </c>
      <c r="D1144" s="66" t="s">
        <v>1568</v>
      </c>
      <c r="E1144" s="71">
        <v>0</v>
      </c>
      <c r="F1144" s="71">
        <v>0</v>
      </c>
      <c r="G1144" s="72">
        <v>0</v>
      </c>
      <c r="H1144" s="72">
        <v>0</v>
      </c>
    </row>
    <row r="1145" spans="2:8" ht="12">
      <c r="B1145" s="64">
        <v>1139</v>
      </c>
      <c r="C1145" s="64" t="s">
        <v>1272</v>
      </c>
      <c r="D1145" s="66" t="s">
        <v>2872</v>
      </c>
      <c r="E1145" s="71">
        <v>0</v>
      </c>
      <c r="F1145" s="71">
        <v>0</v>
      </c>
      <c r="G1145" s="72">
        <v>0</v>
      </c>
      <c r="H1145" s="72">
        <v>0</v>
      </c>
    </row>
    <row r="1146" spans="2:8" ht="12">
      <c r="B1146" s="64">
        <v>1140</v>
      </c>
      <c r="C1146" s="64" t="s">
        <v>1273</v>
      </c>
      <c r="D1146" s="66" t="s">
        <v>1274</v>
      </c>
      <c r="E1146" s="71">
        <v>0</v>
      </c>
      <c r="F1146" s="71">
        <v>0</v>
      </c>
      <c r="G1146" s="72">
        <v>0</v>
      </c>
      <c r="H1146" s="72">
        <v>0</v>
      </c>
    </row>
    <row r="1147" spans="2:8" ht="12">
      <c r="B1147" s="64">
        <v>1141</v>
      </c>
      <c r="C1147" s="64" t="s">
        <v>2873</v>
      </c>
      <c r="D1147" s="66" t="s">
        <v>1770</v>
      </c>
      <c r="E1147" s="71">
        <v>0</v>
      </c>
      <c r="F1147" s="71">
        <v>0</v>
      </c>
      <c r="G1147" s="72">
        <v>0</v>
      </c>
      <c r="H1147" s="72">
        <v>0</v>
      </c>
    </row>
    <row r="1148" spans="2:8" ht="12">
      <c r="B1148" s="64">
        <v>1142</v>
      </c>
      <c r="C1148" s="64" t="s">
        <v>1499</v>
      </c>
      <c r="D1148" s="66" t="s">
        <v>1275</v>
      </c>
      <c r="E1148" s="71">
        <v>0</v>
      </c>
      <c r="F1148" s="71">
        <v>0</v>
      </c>
      <c r="G1148" s="72">
        <v>0</v>
      </c>
      <c r="H1148" s="72">
        <v>0</v>
      </c>
    </row>
    <row r="1149" spans="2:8" ht="12">
      <c r="B1149" s="64">
        <v>1143</v>
      </c>
      <c r="C1149" s="64" t="s">
        <v>1771</v>
      </c>
      <c r="D1149" s="66" t="s">
        <v>665</v>
      </c>
      <c r="E1149" s="71">
        <v>0</v>
      </c>
      <c r="F1149" s="71">
        <v>0</v>
      </c>
      <c r="G1149" s="72">
        <v>0</v>
      </c>
      <c r="H1149" s="72">
        <v>0</v>
      </c>
    </row>
    <row r="1150" spans="2:8" ht="12">
      <c r="B1150" s="64">
        <v>1144</v>
      </c>
      <c r="C1150" s="64" t="s">
        <v>2874</v>
      </c>
      <c r="D1150" s="66" t="s">
        <v>1698</v>
      </c>
      <c r="E1150" s="71">
        <v>5600</v>
      </c>
      <c r="F1150" s="71">
        <v>5600</v>
      </c>
      <c r="G1150" s="72">
        <v>2800</v>
      </c>
      <c r="H1150" s="72">
        <v>2800</v>
      </c>
    </row>
    <row r="1151" spans="2:8" ht="12">
      <c r="B1151" s="64">
        <v>1145</v>
      </c>
      <c r="C1151" s="64" t="s">
        <v>1699</v>
      </c>
      <c r="D1151" s="66" t="s">
        <v>1652</v>
      </c>
      <c r="E1151" s="71">
        <v>34100</v>
      </c>
      <c r="F1151" s="71">
        <v>34100</v>
      </c>
      <c r="G1151" s="72">
        <v>14300</v>
      </c>
      <c r="H1151" s="72">
        <v>19800</v>
      </c>
    </row>
    <row r="1152" spans="2:8" ht="12">
      <c r="B1152" s="64">
        <v>1146</v>
      </c>
      <c r="C1152" s="64" t="s">
        <v>2875</v>
      </c>
      <c r="D1152" s="66" t="s">
        <v>2876</v>
      </c>
      <c r="E1152" s="71">
        <v>0</v>
      </c>
      <c r="F1152" s="71">
        <v>0</v>
      </c>
      <c r="G1152" s="72">
        <v>0</v>
      </c>
      <c r="H1152" s="72">
        <v>0</v>
      </c>
    </row>
    <row r="1153" spans="2:8" ht="12">
      <c r="B1153" s="64">
        <v>1147</v>
      </c>
      <c r="C1153" s="64" t="s">
        <v>1276</v>
      </c>
      <c r="D1153" s="66" t="s">
        <v>1772</v>
      </c>
      <c r="E1153" s="71">
        <v>15600</v>
      </c>
      <c r="F1153" s="71">
        <v>15600</v>
      </c>
      <c r="G1153" s="72">
        <v>7800</v>
      </c>
      <c r="H1153" s="72">
        <v>7800</v>
      </c>
    </row>
    <row r="1154" spans="2:8" ht="12">
      <c r="B1154" s="64">
        <v>1148</v>
      </c>
      <c r="C1154" s="64" t="s">
        <v>666</v>
      </c>
      <c r="D1154" s="66" t="s">
        <v>1569</v>
      </c>
      <c r="E1154" s="71">
        <v>0</v>
      </c>
      <c r="F1154" s="71">
        <v>0</v>
      </c>
      <c r="G1154" s="72">
        <v>0</v>
      </c>
      <c r="H1154" s="72">
        <v>0</v>
      </c>
    </row>
    <row r="1155" spans="2:8" ht="12">
      <c r="B1155" s="64">
        <v>1149</v>
      </c>
      <c r="C1155" s="64" t="s">
        <v>1500</v>
      </c>
      <c r="D1155" s="66" t="s">
        <v>1277</v>
      </c>
      <c r="E1155" s="71">
        <v>0</v>
      </c>
      <c r="F1155" s="71">
        <v>0</v>
      </c>
      <c r="G1155" s="72">
        <v>0</v>
      </c>
      <c r="H1155" s="72">
        <v>0</v>
      </c>
    </row>
    <row r="1156" spans="2:8" ht="12">
      <c r="B1156" s="64">
        <v>1150</v>
      </c>
      <c r="C1156" s="64" t="s">
        <v>1910</v>
      </c>
      <c r="D1156" s="66" t="s">
        <v>1653</v>
      </c>
      <c r="E1156" s="71">
        <v>12000</v>
      </c>
      <c r="F1156" s="71">
        <v>12000</v>
      </c>
      <c r="G1156" s="72">
        <v>6000</v>
      </c>
      <c r="H1156" s="72">
        <v>6000</v>
      </c>
    </row>
    <row r="1157" spans="2:8" ht="12">
      <c r="B1157" s="64">
        <v>1151</v>
      </c>
      <c r="C1157" s="64" t="s">
        <v>1700</v>
      </c>
      <c r="D1157" s="66" t="s">
        <v>1570</v>
      </c>
      <c r="E1157" s="71">
        <v>5000</v>
      </c>
      <c r="F1157" s="71">
        <v>5000</v>
      </c>
      <c r="G1157" s="72">
        <v>2500</v>
      </c>
      <c r="H1157" s="72">
        <v>2500</v>
      </c>
    </row>
    <row r="1158" spans="2:8" ht="12">
      <c r="B1158" s="64">
        <v>1152</v>
      </c>
      <c r="C1158" s="64" t="s">
        <v>2877</v>
      </c>
      <c r="D1158" s="66" t="s">
        <v>1847</v>
      </c>
      <c r="E1158" s="71">
        <v>0</v>
      </c>
      <c r="F1158" s="71">
        <v>0</v>
      </c>
      <c r="G1158" s="72">
        <v>0</v>
      </c>
      <c r="H1158" s="72">
        <v>0</v>
      </c>
    </row>
    <row r="1159" spans="2:8" ht="12">
      <c r="B1159" s="64">
        <v>1153</v>
      </c>
      <c r="C1159" s="64" t="s">
        <v>1501</v>
      </c>
      <c r="D1159" s="66" t="s">
        <v>1654</v>
      </c>
      <c r="E1159" s="71">
        <v>0</v>
      </c>
      <c r="F1159" s="71">
        <v>0</v>
      </c>
      <c r="G1159" s="72">
        <v>0</v>
      </c>
      <c r="H1159" s="72">
        <v>0</v>
      </c>
    </row>
    <row r="1160" spans="2:8" ht="12">
      <c r="B1160" s="64">
        <v>1154</v>
      </c>
      <c r="C1160" s="64" t="s">
        <v>1502</v>
      </c>
      <c r="D1160" s="66" t="s">
        <v>1701</v>
      </c>
      <c r="E1160" s="71">
        <v>76400</v>
      </c>
      <c r="F1160" s="71">
        <v>76400</v>
      </c>
      <c r="G1160" s="72">
        <v>38200</v>
      </c>
      <c r="H1160" s="72">
        <v>38200</v>
      </c>
    </row>
    <row r="1161" spans="2:8" ht="12">
      <c r="B1161" s="64">
        <v>1155</v>
      </c>
      <c r="C1161" s="64" t="s">
        <v>667</v>
      </c>
      <c r="D1161" s="66" t="s">
        <v>2878</v>
      </c>
      <c r="E1161" s="71">
        <v>162800</v>
      </c>
      <c r="F1161" s="71">
        <v>162800</v>
      </c>
      <c r="G1161" s="72">
        <v>81400</v>
      </c>
      <c r="H1161" s="72">
        <v>81400</v>
      </c>
    </row>
    <row r="1162" spans="2:8" ht="12">
      <c r="B1162" s="64">
        <v>1156</v>
      </c>
      <c r="C1162" s="64" t="s">
        <v>2879</v>
      </c>
      <c r="D1162" s="66" t="s">
        <v>1278</v>
      </c>
      <c r="E1162" s="71">
        <v>2400</v>
      </c>
      <c r="F1162" s="71">
        <v>2400</v>
      </c>
      <c r="G1162" s="72">
        <v>1200</v>
      </c>
      <c r="H1162" s="72">
        <v>1200</v>
      </c>
    </row>
    <row r="1163" spans="2:8" ht="12">
      <c r="B1163" s="64">
        <v>1157</v>
      </c>
      <c r="C1163" s="64" t="s">
        <v>2880</v>
      </c>
      <c r="D1163" s="66" t="s">
        <v>1655</v>
      </c>
      <c r="E1163" s="71">
        <v>22200</v>
      </c>
      <c r="F1163" s="71">
        <v>22200</v>
      </c>
      <c r="G1163" s="72">
        <v>11100</v>
      </c>
      <c r="H1163" s="72">
        <v>11100</v>
      </c>
    </row>
    <row r="1164" spans="2:8" ht="12">
      <c r="B1164" s="64">
        <v>1158</v>
      </c>
      <c r="C1164" s="64" t="s">
        <v>1773</v>
      </c>
      <c r="D1164" s="66" t="s">
        <v>1503</v>
      </c>
      <c r="E1164" s="71">
        <v>0</v>
      </c>
      <c r="F1164" s="71">
        <v>0</v>
      </c>
      <c r="G1164" s="72">
        <v>0</v>
      </c>
      <c r="H1164" s="72">
        <v>0</v>
      </c>
    </row>
    <row r="1165" spans="2:8" ht="12">
      <c r="B1165" s="64">
        <v>1159</v>
      </c>
      <c r="C1165" s="64" t="s">
        <v>1279</v>
      </c>
      <c r="D1165" s="66" t="s">
        <v>1280</v>
      </c>
      <c r="E1165" s="71">
        <v>0</v>
      </c>
      <c r="F1165" s="71">
        <v>0</v>
      </c>
      <c r="G1165" s="72">
        <v>0</v>
      </c>
      <c r="H1165" s="72">
        <v>0</v>
      </c>
    </row>
    <row r="1166" spans="2:8" ht="12">
      <c r="B1166" s="64">
        <v>1160</v>
      </c>
      <c r="C1166" s="64" t="s">
        <v>1281</v>
      </c>
      <c r="D1166" s="66" t="s">
        <v>1282</v>
      </c>
      <c r="E1166" s="71">
        <v>12200</v>
      </c>
      <c r="F1166" s="71">
        <v>12200</v>
      </c>
      <c r="G1166" s="72">
        <v>6100</v>
      </c>
      <c r="H1166" s="72">
        <v>6100</v>
      </c>
    </row>
    <row r="1167" spans="2:8" ht="12">
      <c r="B1167" s="64">
        <v>1161</v>
      </c>
      <c r="C1167" s="64" t="s">
        <v>2881</v>
      </c>
      <c r="D1167" s="66" t="s">
        <v>1571</v>
      </c>
      <c r="E1167" s="71">
        <v>0</v>
      </c>
      <c r="F1167" s="71">
        <v>0</v>
      </c>
      <c r="G1167" s="72">
        <v>0</v>
      </c>
      <c r="H1167" s="72">
        <v>0</v>
      </c>
    </row>
    <row r="1168" spans="2:8" ht="12">
      <c r="B1168" s="64">
        <v>1162</v>
      </c>
      <c r="C1168" s="64" t="s">
        <v>1656</v>
      </c>
      <c r="D1168" s="66" t="s">
        <v>1283</v>
      </c>
      <c r="E1168" s="71">
        <v>28000</v>
      </c>
      <c r="F1168" s="71">
        <v>28000</v>
      </c>
      <c r="G1168" s="72">
        <v>14000</v>
      </c>
      <c r="H1168" s="72">
        <v>14000</v>
      </c>
    </row>
    <row r="1169" spans="2:8" ht="12">
      <c r="B1169" s="64">
        <v>1163</v>
      </c>
      <c r="C1169" s="64" t="s">
        <v>1284</v>
      </c>
      <c r="D1169" s="66" t="s">
        <v>2882</v>
      </c>
      <c r="E1169" s="71">
        <v>43400</v>
      </c>
      <c r="F1169" s="71">
        <v>43400</v>
      </c>
      <c r="G1169" s="72">
        <v>18400</v>
      </c>
      <c r="H1169" s="72">
        <v>25000</v>
      </c>
    </row>
    <row r="1170" spans="2:8" ht="12">
      <c r="B1170" s="64">
        <v>1164</v>
      </c>
      <c r="C1170" s="64" t="s">
        <v>1572</v>
      </c>
      <c r="D1170" s="66" t="s">
        <v>1285</v>
      </c>
      <c r="E1170" s="71">
        <v>152800</v>
      </c>
      <c r="F1170" s="71">
        <v>152800</v>
      </c>
      <c r="G1170" s="72">
        <v>76400</v>
      </c>
      <c r="H1170" s="72">
        <v>76400</v>
      </c>
    </row>
    <row r="1171" spans="2:8" ht="12">
      <c r="B1171" s="64">
        <v>1165</v>
      </c>
      <c r="C1171" s="64" t="s">
        <v>1657</v>
      </c>
      <c r="D1171" s="66" t="s">
        <v>1774</v>
      </c>
      <c r="E1171" s="71">
        <v>18800</v>
      </c>
      <c r="F1171" s="71">
        <v>18800</v>
      </c>
      <c r="G1171" s="72">
        <v>7200</v>
      </c>
      <c r="H1171" s="72">
        <v>11600</v>
      </c>
    </row>
    <row r="1172" spans="2:8" ht="24">
      <c r="B1172" s="64">
        <v>1166</v>
      </c>
      <c r="C1172" s="64" t="s">
        <v>1286</v>
      </c>
      <c r="D1172" s="73" t="s">
        <v>1848</v>
      </c>
      <c r="E1172" s="71">
        <v>18600</v>
      </c>
      <c r="F1172" s="71">
        <v>18600</v>
      </c>
      <c r="G1172" s="72">
        <v>9300</v>
      </c>
      <c r="H1172" s="72">
        <v>9300</v>
      </c>
    </row>
    <row r="1173" spans="2:8" ht="12">
      <c r="B1173" s="64">
        <v>1167</v>
      </c>
      <c r="C1173" s="64" t="s">
        <v>1287</v>
      </c>
      <c r="D1173" s="66" t="s">
        <v>1702</v>
      </c>
      <c r="E1173" s="71">
        <v>18600</v>
      </c>
      <c r="F1173" s="71">
        <v>18600</v>
      </c>
      <c r="G1173" s="72">
        <v>9300</v>
      </c>
      <c r="H1173" s="72">
        <v>9300</v>
      </c>
    </row>
    <row r="1174" spans="2:8" ht="12">
      <c r="B1174" s="64">
        <v>1168</v>
      </c>
      <c r="C1174" s="64" t="s">
        <v>2883</v>
      </c>
      <c r="D1174" s="66" t="s">
        <v>1504</v>
      </c>
      <c r="E1174" s="71">
        <v>22200</v>
      </c>
      <c r="F1174" s="71">
        <v>22200</v>
      </c>
      <c r="G1174" s="72">
        <v>11100</v>
      </c>
      <c r="H1174" s="72">
        <v>11100</v>
      </c>
    </row>
    <row r="1175" spans="2:8" ht="12">
      <c r="B1175" s="64">
        <v>1169</v>
      </c>
      <c r="C1175" s="64" t="s">
        <v>2884</v>
      </c>
      <c r="D1175" s="66" t="s">
        <v>1849</v>
      </c>
      <c r="E1175" s="71">
        <v>10000</v>
      </c>
      <c r="F1175" s="71">
        <v>10000</v>
      </c>
      <c r="G1175" s="72">
        <v>5000</v>
      </c>
      <c r="H1175" s="72">
        <v>5000</v>
      </c>
    </row>
    <row r="1176" spans="2:8" ht="12">
      <c r="B1176" s="64">
        <v>1170</v>
      </c>
      <c r="C1176" s="64" t="s">
        <v>1288</v>
      </c>
      <c r="D1176" s="66" t="s">
        <v>2885</v>
      </c>
      <c r="E1176" s="71">
        <v>92000</v>
      </c>
      <c r="F1176" s="71">
        <v>92000</v>
      </c>
      <c r="G1176" s="72">
        <v>46000</v>
      </c>
      <c r="H1176" s="72">
        <v>46000</v>
      </c>
    </row>
    <row r="1177" spans="2:8" ht="12">
      <c r="B1177" s="64">
        <v>1171</v>
      </c>
      <c r="C1177" s="64" t="s">
        <v>1775</v>
      </c>
      <c r="D1177" s="66" t="s">
        <v>1505</v>
      </c>
      <c r="E1177" s="71">
        <v>123800</v>
      </c>
      <c r="F1177" s="71">
        <v>123800</v>
      </c>
      <c r="G1177" s="72">
        <v>61900</v>
      </c>
      <c r="H1177" s="72">
        <v>61900</v>
      </c>
    </row>
    <row r="1178" spans="2:8" ht="12">
      <c r="B1178" s="64">
        <v>1172</v>
      </c>
      <c r="C1178" s="64" t="s">
        <v>1289</v>
      </c>
      <c r="D1178" s="66" t="s">
        <v>2886</v>
      </c>
      <c r="E1178" s="71">
        <v>0</v>
      </c>
      <c r="F1178" s="71">
        <v>0</v>
      </c>
      <c r="G1178" s="72">
        <v>0</v>
      </c>
      <c r="H1178" s="72">
        <v>0</v>
      </c>
    </row>
    <row r="1179" spans="2:8" ht="12">
      <c r="B1179" s="64">
        <v>1173</v>
      </c>
      <c r="C1179" s="64" t="s">
        <v>1290</v>
      </c>
      <c r="D1179" s="66" t="s">
        <v>2887</v>
      </c>
      <c r="E1179" s="71">
        <v>13200</v>
      </c>
      <c r="F1179" s="71">
        <v>13200</v>
      </c>
      <c r="G1179" s="72">
        <v>6600</v>
      </c>
      <c r="H1179" s="72">
        <v>6600</v>
      </c>
    </row>
    <row r="1180" spans="2:8" ht="12">
      <c r="B1180" s="64">
        <v>1174</v>
      </c>
      <c r="C1180" s="64" t="s">
        <v>1506</v>
      </c>
      <c r="D1180" s="66" t="s">
        <v>2888</v>
      </c>
      <c r="E1180" s="71">
        <v>6400</v>
      </c>
      <c r="F1180" s="71">
        <v>6400</v>
      </c>
      <c r="G1180" s="72">
        <v>3200</v>
      </c>
      <c r="H1180" s="72">
        <v>3200</v>
      </c>
    </row>
    <row r="1181" spans="2:8" ht="12">
      <c r="B1181" s="64">
        <v>1175</v>
      </c>
      <c r="C1181" s="64" t="s">
        <v>2889</v>
      </c>
      <c r="D1181" s="66" t="s">
        <v>2890</v>
      </c>
      <c r="E1181" s="71">
        <v>118800</v>
      </c>
      <c r="F1181" s="71">
        <v>118800</v>
      </c>
      <c r="G1181" s="72">
        <v>59400</v>
      </c>
      <c r="H1181" s="72">
        <v>59400</v>
      </c>
    </row>
    <row r="1182" spans="2:8" ht="12">
      <c r="B1182" s="64">
        <v>1176</v>
      </c>
      <c r="C1182" s="64" t="s">
        <v>1658</v>
      </c>
      <c r="D1182" s="66" t="s">
        <v>1291</v>
      </c>
      <c r="E1182" s="71">
        <v>2400</v>
      </c>
      <c r="F1182" s="71">
        <v>2400</v>
      </c>
      <c r="G1182" s="72">
        <v>1200</v>
      </c>
      <c r="H1182" s="72">
        <v>1200</v>
      </c>
    </row>
    <row r="1183" spans="2:8" ht="12">
      <c r="B1183" s="64">
        <v>1177</v>
      </c>
      <c r="C1183" s="64" t="s">
        <v>1659</v>
      </c>
      <c r="D1183" s="66" t="s">
        <v>1507</v>
      </c>
      <c r="E1183" s="71">
        <v>2400</v>
      </c>
      <c r="F1183" s="71">
        <v>2400</v>
      </c>
      <c r="G1183" s="72">
        <v>1200</v>
      </c>
      <c r="H1183" s="72">
        <v>1200</v>
      </c>
    </row>
    <row r="1184" spans="2:8" ht="12">
      <c r="B1184" s="64">
        <v>1178</v>
      </c>
      <c r="C1184" s="64" t="s">
        <v>1292</v>
      </c>
      <c r="D1184" s="66" t="s">
        <v>2891</v>
      </c>
      <c r="E1184" s="71">
        <v>7400</v>
      </c>
      <c r="F1184" s="71">
        <v>7400</v>
      </c>
      <c r="G1184" s="72">
        <v>3700</v>
      </c>
      <c r="H1184" s="72">
        <v>3700</v>
      </c>
    </row>
    <row r="1185" spans="2:8" ht="12">
      <c r="B1185" s="64">
        <v>1179</v>
      </c>
      <c r="C1185" s="64" t="s">
        <v>1293</v>
      </c>
      <c r="D1185" s="66" t="s">
        <v>1294</v>
      </c>
      <c r="E1185" s="71">
        <v>5000</v>
      </c>
      <c r="F1185" s="71">
        <v>5000</v>
      </c>
      <c r="G1185" s="72">
        <v>2500</v>
      </c>
      <c r="H1185" s="72">
        <v>2500</v>
      </c>
    </row>
    <row r="1186" spans="2:8" ht="12">
      <c r="B1186" s="64">
        <v>1180</v>
      </c>
      <c r="C1186" s="64" t="s">
        <v>1911</v>
      </c>
      <c r="D1186" s="66" t="s">
        <v>1295</v>
      </c>
      <c r="E1186" s="71">
        <v>66000</v>
      </c>
      <c r="F1186" s="71">
        <v>66000</v>
      </c>
      <c r="G1186" s="72">
        <v>33000</v>
      </c>
      <c r="H1186" s="72">
        <v>33000</v>
      </c>
    </row>
    <row r="1187" spans="2:8" ht="12">
      <c r="B1187" s="64">
        <v>1181</v>
      </c>
      <c r="C1187" s="64" t="s">
        <v>1296</v>
      </c>
      <c r="D1187" s="66" t="s">
        <v>1297</v>
      </c>
      <c r="E1187" s="71">
        <v>20000</v>
      </c>
      <c r="F1187" s="71">
        <v>20000</v>
      </c>
      <c r="G1187" s="72">
        <v>10000</v>
      </c>
      <c r="H1187" s="72">
        <v>10000</v>
      </c>
    </row>
    <row r="1188" spans="2:8" ht="12">
      <c r="B1188" s="64">
        <v>1182</v>
      </c>
      <c r="C1188" s="64" t="s">
        <v>1298</v>
      </c>
      <c r="D1188" s="66" t="s">
        <v>1299</v>
      </c>
      <c r="E1188" s="71">
        <v>2400</v>
      </c>
      <c r="F1188" s="71">
        <v>2400</v>
      </c>
      <c r="G1188" s="72">
        <v>1200</v>
      </c>
      <c r="H1188" s="72">
        <v>1200</v>
      </c>
    </row>
    <row r="1189" spans="2:8" ht="12">
      <c r="B1189" s="64">
        <v>1183</v>
      </c>
      <c r="C1189" s="64" t="s">
        <v>1300</v>
      </c>
      <c r="D1189" s="66" t="s">
        <v>668</v>
      </c>
      <c r="E1189" s="71">
        <v>2400</v>
      </c>
      <c r="F1189" s="71">
        <v>2400</v>
      </c>
      <c r="G1189" s="72">
        <v>1200</v>
      </c>
      <c r="H1189" s="72">
        <v>1200</v>
      </c>
    </row>
    <row r="1190" spans="2:8" ht="12">
      <c r="B1190" s="64">
        <v>1184</v>
      </c>
      <c r="C1190" s="64" t="s">
        <v>2892</v>
      </c>
      <c r="D1190" s="66" t="s">
        <v>1301</v>
      </c>
      <c r="E1190" s="71">
        <v>19200</v>
      </c>
      <c r="F1190" s="71">
        <v>19200</v>
      </c>
      <c r="G1190" s="72">
        <v>9600</v>
      </c>
      <c r="H1190" s="72">
        <v>9600</v>
      </c>
    </row>
    <row r="1191" spans="2:8" ht="12">
      <c r="B1191" s="64">
        <v>1185</v>
      </c>
      <c r="C1191" s="64" t="s">
        <v>1573</v>
      </c>
      <c r="D1191" s="66" t="s">
        <v>2893</v>
      </c>
      <c r="E1191" s="71">
        <v>0</v>
      </c>
      <c r="F1191" s="71">
        <v>0</v>
      </c>
      <c r="G1191" s="72">
        <v>0</v>
      </c>
      <c r="H1191" s="72">
        <v>0</v>
      </c>
    </row>
    <row r="1192" spans="2:8" ht="12">
      <c r="B1192" s="64">
        <v>1186</v>
      </c>
      <c r="C1192" s="64" t="s">
        <v>2894</v>
      </c>
      <c r="D1192" s="66" t="s">
        <v>2895</v>
      </c>
      <c r="E1192" s="71">
        <v>25800</v>
      </c>
      <c r="F1192" s="71">
        <v>25800</v>
      </c>
      <c r="G1192" s="72">
        <v>12900</v>
      </c>
      <c r="H1192" s="72">
        <v>12900</v>
      </c>
    </row>
    <row r="1193" spans="2:8" ht="12">
      <c r="B1193" s="64">
        <v>1187</v>
      </c>
      <c r="C1193" s="64" t="s">
        <v>1821</v>
      </c>
      <c r="D1193" s="66" t="s">
        <v>1508</v>
      </c>
      <c r="E1193" s="71">
        <v>13600</v>
      </c>
      <c r="F1193" s="71">
        <v>13600</v>
      </c>
      <c r="G1193" s="72">
        <v>6800</v>
      </c>
      <c r="H1193" s="72">
        <v>6800</v>
      </c>
    </row>
    <row r="1194" spans="2:8" ht="12">
      <c r="B1194" s="64">
        <v>1188</v>
      </c>
      <c r="C1194" s="64" t="s">
        <v>669</v>
      </c>
      <c r="D1194" s="66" t="s">
        <v>1302</v>
      </c>
      <c r="E1194" s="71">
        <v>201000</v>
      </c>
      <c r="F1194" s="71">
        <v>201000</v>
      </c>
      <c r="G1194" s="72">
        <v>100500</v>
      </c>
      <c r="H1194" s="72">
        <v>100500</v>
      </c>
    </row>
    <row r="1195" spans="2:8" ht="12">
      <c r="B1195" s="64">
        <v>1189</v>
      </c>
      <c r="C1195" s="64" t="s">
        <v>1574</v>
      </c>
      <c r="D1195" s="66" t="s">
        <v>1660</v>
      </c>
      <c r="E1195" s="71">
        <v>0</v>
      </c>
      <c r="F1195" s="71">
        <v>0</v>
      </c>
      <c r="G1195" s="72">
        <v>0</v>
      </c>
      <c r="H1195" s="72">
        <v>0</v>
      </c>
    </row>
    <row r="1196" spans="2:8" ht="12">
      <c r="B1196" s="64">
        <v>1190</v>
      </c>
      <c r="C1196" s="64" t="s">
        <v>1912</v>
      </c>
      <c r="D1196" s="66" t="s">
        <v>1806</v>
      </c>
      <c r="E1196" s="71">
        <v>37600</v>
      </c>
      <c r="F1196" s="71">
        <v>37600</v>
      </c>
      <c r="G1196" s="72">
        <v>18800</v>
      </c>
      <c r="H1196" s="72">
        <v>18800</v>
      </c>
    </row>
    <row r="1197" spans="2:8" ht="12">
      <c r="B1197" s="64">
        <v>1191</v>
      </c>
      <c r="C1197" s="64" t="s">
        <v>1303</v>
      </c>
      <c r="D1197" s="66" t="s">
        <v>1304</v>
      </c>
      <c r="E1197" s="71">
        <v>0</v>
      </c>
      <c r="F1197" s="71">
        <v>0</v>
      </c>
      <c r="G1197" s="72">
        <v>0</v>
      </c>
      <c r="H1197" s="72">
        <v>0</v>
      </c>
    </row>
    <row r="1198" spans="2:8" ht="12">
      <c r="B1198" s="64">
        <v>1192</v>
      </c>
      <c r="C1198" s="64" t="s">
        <v>2896</v>
      </c>
      <c r="D1198" s="66" t="s">
        <v>1305</v>
      </c>
      <c r="E1198" s="71">
        <v>0</v>
      </c>
      <c r="F1198" s="71">
        <v>0</v>
      </c>
      <c r="G1198" s="72">
        <v>0</v>
      </c>
      <c r="H1198" s="72">
        <v>0</v>
      </c>
    </row>
    <row r="1199" spans="2:8" ht="12">
      <c r="B1199" s="64">
        <v>1193</v>
      </c>
      <c r="C1199" s="64" t="s">
        <v>1306</v>
      </c>
      <c r="D1199" s="66" t="s">
        <v>1661</v>
      </c>
      <c r="E1199" s="71">
        <v>25600</v>
      </c>
      <c r="F1199" s="71">
        <v>25600</v>
      </c>
      <c r="G1199" s="72">
        <v>12800</v>
      </c>
      <c r="H1199" s="72">
        <v>12800</v>
      </c>
    </row>
    <row r="1200" spans="2:8" ht="12">
      <c r="B1200" s="64">
        <v>1194</v>
      </c>
      <c r="C1200" s="64" t="s">
        <v>1307</v>
      </c>
      <c r="D1200" s="66" t="s">
        <v>2897</v>
      </c>
      <c r="E1200" s="71">
        <v>28800</v>
      </c>
      <c r="F1200" s="71">
        <v>28800</v>
      </c>
      <c r="G1200" s="72">
        <v>14400</v>
      </c>
      <c r="H1200" s="72">
        <v>14400</v>
      </c>
    </row>
    <row r="1201" spans="2:8" ht="12">
      <c r="B1201" s="64">
        <v>1195</v>
      </c>
      <c r="C1201" s="64" t="s">
        <v>2898</v>
      </c>
      <c r="D1201" s="66" t="s">
        <v>1703</v>
      </c>
      <c r="E1201" s="71">
        <v>15500</v>
      </c>
      <c r="F1201" s="71">
        <v>15500</v>
      </c>
      <c r="G1201" s="72">
        <v>5000</v>
      </c>
      <c r="H1201" s="72">
        <v>10500</v>
      </c>
    </row>
    <row r="1202" spans="2:8" ht="12">
      <c r="B1202" s="64">
        <v>1196</v>
      </c>
      <c r="C1202" s="64" t="s">
        <v>1509</v>
      </c>
      <c r="D1202" s="66" t="s">
        <v>2899</v>
      </c>
      <c r="E1202" s="71">
        <v>9900</v>
      </c>
      <c r="F1202" s="71">
        <v>9900</v>
      </c>
      <c r="G1202" s="72">
        <v>0</v>
      </c>
      <c r="H1202" s="72">
        <v>9900</v>
      </c>
    </row>
    <row r="1203" spans="2:8" ht="12">
      <c r="B1203" s="64">
        <v>1197</v>
      </c>
      <c r="C1203" s="64" t="s">
        <v>1510</v>
      </c>
      <c r="D1203" s="66" t="s">
        <v>1511</v>
      </c>
      <c r="E1203" s="71">
        <v>0</v>
      </c>
      <c r="F1203" s="71">
        <v>0</v>
      </c>
      <c r="G1203" s="72">
        <v>0</v>
      </c>
      <c r="H1203" s="72">
        <v>0</v>
      </c>
    </row>
    <row r="1204" spans="2:8" ht="12">
      <c r="B1204" s="64">
        <v>1198</v>
      </c>
      <c r="C1204" s="64" t="s">
        <v>1308</v>
      </c>
      <c r="D1204" s="66" t="s">
        <v>1512</v>
      </c>
      <c r="E1204" s="71">
        <v>0</v>
      </c>
      <c r="F1204" s="71">
        <v>0</v>
      </c>
      <c r="G1204" s="72">
        <v>0</v>
      </c>
      <c r="H1204" s="72">
        <v>0</v>
      </c>
    </row>
    <row r="1205" spans="2:8" ht="12">
      <c r="B1205" s="64">
        <v>1199</v>
      </c>
      <c r="C1205" s="64" t="s">
        <v>1575</v>
      </c>
      <c r="D1205" s="66" t="s">
        <v>1513</v>
      </c>
      <c r="E1205" s="71">
        <v>0</v>
      </c>
      <c r="F1205" s="71">
        <v>0</v>
      </c>
      <c r="G1205" s="72">
        <v>0</v>
      </c>
      <c r="H1205" s="72">
        <v>0</v>
      </c>
    </row>
    <row r="1206" spans="2:8" ht="12">
      <c r="B1206" s="64">
        <v>1200</v>
      </c>
      <c r="C1206" s="64" t="s">
        <v>1309</v>
      </c>
      <c r="D1206" s="66" t="s">
        <v>1864</v>
      </c>
      <c r="E1206" s="71">
        <v>0</v>
      </c>
      <c r="F1206" s="71">
        <v>0</v>
      </c>
      <c r="G1206" s="72">
        <v>0</v>
      </c>
      <c r="H1206" s="72">
        <v>0</v>
      </c>
    </row>
    <row r="1207" spans="2:8" ht="12">
      <c r="B1207" s="64">
        <v>1201</v>
      </c>
      <c r="C1207" s="64" t="s">
        <v>1310</v>
      </c>
      <c r="D1207" s="66" t="s">
        <v>1311</v>
      </c>
      <c r="E1207" s="71">
        <v>0</v>
      </c>
      <c r="F1207" s="71">
        <v>0</v>
      </c>
      <c r="G1207" s="72">
        <v>0</v>
      </c>
      <c r="H1207" s="72">
        <v>0</v>
      </c>
    </row>
    <row r="1208" spans="2:8" ht="12">
      <c r="B1208" s="64">
        <v>1202</v>
      </c>
      <c r="C1208" s="64" t="s">
        <v>1576</v>
      </c>
      <c r="D1208" s="66" t="s">
        <v>1312</v>
      </c>
      <c r="E1208" s="71">
        <v>0</v>
      </c>
      <c r="F1208" s="71">
        <v>0</v>
      </c>
      <c r="G1208" s="72">
        <v>0</v>
      </c>
      <c r="H1208" s="72">
        <v>0</v>
      </c>
    </row>
    <row r="1209" spans="2:8" ht="12">
      <c r="B1209" s="64">
        <v>1203</v>
      </c>
      <c r="C1209" s="64" t="s">
        <v>1313</v>
      </c>
      <c r="D1209" s="66" t="s">
        <v>1577</v>
      </c>
      <c r="E1209" s="71">
        <v>0</v>
      </c>
      <c r="F1209" s="71">
        <v>0</v>
      </c>
      <c r="G1209" s="72">
        <v>0</v>
      </c>
      <c r="H1209" s="72">
        <v>0</v>
      </c>
    </row>
    <row r="1210" spans="2:8" ht="12">
      <c r="B1210" s="64">
        <v>1204</v>
      </c>
      <c r="C1210" s="64" t="s">
        <v>1314</v>
      </c>
      <c r="D1210" s="66" t="s">
        <v>2900</v>
      </c>
      <c r="E1210" s="71">
        <v>0</v>
      </c>
      <c r="F1210" s="71">
        <v>0</v>
      </c>
      <c r="G1210" s="72">
        <v>0</v>
      </c>
      <c r="H1210" s="72">
        <v>0</v>
      </c>
    </row>
    <row r="1211" spans="2:8" ht="12">
      <c r="B1211" s="64">
        <v>1205</v>
      </c>
      <c r="C1211" s="64" t="s">
        <v>1822</v>
      </c>
      <c r="D1211" s="66" t="s">
        <v>1899</v>
      </c>
      <c r="E1211" s="71">
        <v>0</v>
      </c>
      <c r="F1211" s="71">
        <v>0</v>
      </c>
      <c r="G1211" s="72">
        <v>0</v>
      </c>
      <c r="H1211" s="72">
        <v>0</v>
      </c>
    </row>
    <row r="1212" spans="2:8" ht="12">
      <c r="B1212" s="64">
        <v>1206</v>
      </c>
      <c r="C1212" s="64" t="s">
        <v>1315</v>
      </c>
      <c r="D1212" s="66" t="s">
        <v>1316</v>
      </c>
      <c r="E1212" s="71">
        <v>0</v>
      </c>
      <c r="F1212" s="71">
        <v>0</v>
      </c>
      <c r="G1212" s="72">
        <v>0</v>
      </c>
      <c r="H1212" s="72">
        <v>0</v>
      </c>
    </row>
    <row r="1213" spans="2:8" ht="12">
      <c r="B1213" s="64">
        <v>1207</v>
      </c>
      <c r="C1213" s="64" t="s">
        <v>2901</v>
      </c>
      <c r="D1213" s="66" t="s">
        <v>1578</v>
      </c>
      <c r="E1213" s="71">
        <v>0</v>
      </c>
      <c r="F1213" s="71">
        <v>0</v>
      </c>
      <c r="G1213" s="72">
        <v>0</v>
      </c>
      <c r="H1213" s="72">
        <v>0</v>
      </c>
    </row>
    <row r="1214" spans="2:8" ht="12">
      <c r="B1214" s="64">
        <v>1208</v>
      </c>
      <c r="C1214" s="64" t="s">
        <v>2902</v>
      </c>
      <c r="D1214" s="66" t="s">
        <v>1579</v>
      </c>
      <c r="E1214" s="71">
        <v>0</v>
      </c>
      <c r="F1214" s="71">
        <v>0</v>
      </c>
      <c r="G1214" s="72">
        <v>0</v>
      </c>
      <c r="H1214" s="72">
        <v>0</v>
      </c>
    </row>
    <row r="1215" spans="2:8" ht="12">
      <c r="B1215" s="64">
        <v>1209</v>
      </c>
      <c r="C1215" s="64" t="s">
        <v>2903</v>
      </c>
      <c r="D1215" s="66" t="s">
        <v>2904</v>
      </c>
      <c r="E1215" s="71">
        <v>0</v>
      </c>
      <c r="F1215" s="71">
        <v>0</v>
      </c>
      <c r="G1215" s="72">
        <v>0</v>
      </c>
      <c r="H1215" s="72">
        <v>0</v>
      </c>
    </row>
    <row r="1216" spans="2:8" ht="12">
      <c r="B1216" s="66">
        <v>1210</v>
      </c>
      <c r="C1216" s="66" t="s">
        <v>1807</v>
      </c>
      <c r="D1216" s="66" t="s">
        <v>2905</v>
      </c>
      <c r="E1216" s="71">
        <v>0</v>
      </c>
      <c r="F1216" s="71">
        <v>0</v>
      </c>
      <c r="G1216" s="72">
        <v>0</v>
      </c>
      <c r="H1216" s="72">
        <v>0</v>
      </c>
    </row>
    <row r="1217" spans="2:8" ht="12">
      <c r="B1217" s="66">
        <v>1211</v>
      </c>
      <c r="C1217" s="66" t="s">
        <v>2906</v>
      </c>
      <c r="D1217" s="66" t="s">
        <v>2907</v>
      </c>
      <c r="E1217" s="71">
        <v>0</v>
      </c>
      <c r="F1217" s="71">
        <v>0</v>
      </c>
      <c r="G1217" s="72">
        <v>0</v>
      </c>
      <c r="H1217" s="72">
        <v>0</v>
      </c>
    </row>
    <row r="1218" spans="2:8" ht="12">
      <c r="B1218" s="66">
        <v>1212</v>
      </c>
      <c r="C1218" s="66" t="s">
        <v>1823</v>
      </c>
      <c r="D1218" s="66" t="s">
        <v>1514</v>
      </c>
      <c r="E1218" s="71">
        <v>0</v>
      </c>
      <c r="F1218" s="71">
        <v>0</v>
      </c>
      <c r="G1218" s="72">
        <v>0</v>
      </c>
      <c r="H1218" s="72">
        <v>0</v>
      </c>
    </row>
    <row r="1219" spans="2:8" ht="12">
      <c r="B1219" s="66"/>
      <c r="C1219" s="66" t="s">
        <v>26</v>
      </c>
      <c r="D1219" s="66"/>
      <c r="E1219" s="71">
        <v>5601997</v>
      </c>
      <c r="F1219" s="71">
        <v>5601997</v>
      </c>
      <c r="G1219" s="72">
        <v>2800998</v>
      </c>
      <c r="H1219" s="72">
        <v>2800999</v>
      </c>
    </row>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7005" spans="1:1">
      <c r="A7005" s="61"/>
    </row>
    <row r="7006" spans="1:1">
      <c r="A7006" s="61"/>
    </row>
    <row r="7007" spans="1:1">
      <c r="A7007" s="61"/>
    </row>
    <row r="7008" spans="1:1">
      <c r="A7008" s="61"/>
    </row>
    <row r="7009" spans="1:1">
      <c r="A7009" s="61"/>
    </row>
    <row r="7010" spans="1:1">
      <c r="A7010" s="61"/>
    </row>
    <row r="7011" spans="1:1">
      <c r="A7011" s="61"/>
    </row>
    <row r="7012" spans="1:1">
      <c r="A7012" s="61"/>
    </row>
    <row r="7013" spans="1:1">
      <c r="A7013" s="61"/>
    </row>
    <row r="7014" spans="1:1">
      <c r="A7014" s="61"/>
    </row>
    <row r="7015" spans="1:1">
      <c r="A7015" s="61"/>
    </row>
    <row r="7016" spans="1:1">
      <c r="A7016" s="61"/>
    </row>
    <row r="7017" spans="1:1">
      <c r="A7017" s="61"/>
    </row>
    <row r="7018" spans="1:1">
      <c r="A7018" s="61"/>
    </row>
    <row r="7019" spans="1:1">
      <c r="A7019" s="61"/>
    </row>
    <row r="7020" spans="1:1">
      <c r="A7020" s="61"/>
    </row>
    <row r="7021" spans="1:1">
      <c r="A7021" s="61"/>
    </row>
    <row r="7022" spans="1:1">
      <c r="A7022" s="61"/>
    </row>
    <row r="7023" spans="1:1">
      <c r="A7023" s="61"/>
    </row>
    <row r="7024" spans="1:1">
      <c r="A7024" s="61"/>
    </row>
    <row r="7025" spans="1:1">
      <c r="A7025" s="61"/>
    </row>
    <row r="7026" spans="1:1">
      <c r="A7026" s="61"/>
    </row>
    <row r="7027" spans="1:1">
      <c r="A7027" s="61"/>
    </row>
    <row r="7028" spans="1:1">
      <c r="A7028" s="61"/>
    </row>
    <row r="7029" spans="1:1">
      <c r="A7029" s="61"/>
    </row>
    <row r="7030" spans="1:1">
      <c r="A7030" s="61"/>
    </row>
    <row r="7031" spans="1:1">
      <c r="A7031" s="61"/>
    </row>
    <row r="7032" spans="1:1">
      <c r="A7032" s="61"/>
    </row>
    <row r="7033" spans="1:1">
      <c r="A7033" s="61"/>
    </row>
    <row r="7034" spans="1:1">
      <c r="A7034" s="61"/>
    </row>
    <row r="7035" spans="1:1">
      <c r="A7035" s="61"/>
    </row>
    <row r="7036" spans="1:1">
      <c r="A7036" s="61"/>
    </row>
    <row r="7037" spans="1:1">
      <c r="A7037" s="61"/>
    </row>
    <row r="7038" spans="1:1">
      <c r="A7038" s="61"/>
    </row>
    <row r="7039" spans="1:1">
      <c r="A7039" s="61"/>
    </row>
    <row r="7040" spans="1:1">
      <c r="A7040" s="61"/>
    </row>
    <row r="7041" spans="1:1">
      <c r="A7041" s="61"/>
    </row>
    <row r="7042" spans="1:1">
      <c r="A7042" s="61"/>
    </row>
    <row r="7043" spans="1:1">
      <c r="A7043" s="61"/>
    </row>
    <row r="7044" spans="1:1">
      <c r="A7044" s="61"/>
    </row>
    <row r="7045" spans="1:1">
      <c r="A7045" s="61"/>
    </row>
    <row r="7046" spans="1:1">
      <c r="A7046" s="61"/>
    </row>
    <row r="7047" spans="1:1">
      <c r="A7047" s="61"/>
    </row>
    <row r="7048" spans="1:1">
      <c r="A7048" s="61"/>
    </row>
    <row r="7049" spans="1:1">
      <c r="A7049" s="61"/>
    </row>
    <row r="7050" spans="1:1">
      <c r="A7050" s="61"/>
    </row>
    <row r="7051" spans="1:1">
      <c r="A7051" s="61"/>
    </row>
    <row r="7052" spans="1:1">
      <c r="A7052" s="61"/>
    </row>
    <row r="7053" spans="1:1">
      <c r="A7053" s="61"/>
    </row>
    <row r="7054" spans="1:1">
      <c r="A7054" s="61"/>
    </row>
    <row r="7055" spans="1:1">
      <c r="A7055" s="61"/>
    </row>
    <row r="7056" spans="1:1">
      <c r="A7056" s="61"/>
    </row>
    <row r="7057" spans="1:1">
      <c r="A7057" s="61"/>
    </row>
    <row r="7058" spans="1:1">
      <c r="A7058" s="61"/>
    </row>
    <row r="7059" spans="1:1">
      <c r="A7059" s="61"/>
    </row>
    <row r="7060" spans="1:1">
      <c r="A7060" s="61"/>
    </row>
    <row r="7061" spans="1:1">
      <c r="A7061" s="61"/>
    </row>
    <row r="7062" spans="1:1">
      <c r="A7062" s="61"/>
    </row>
    <row r="7063" spans="1:1">
      <c r="A7063" s="61"/>
    </row>
    <row r="7064" spans="1:1">
      <c r="A7064" s="61"/>
    </row>
    <row r="7065" spans="1:1">
      <c r="A7065" s="61"/>
    </row>
    <row r="7066" spans="1:1">
      <c r="A7066" s="61"/>
    </row>
    <row r="7067" spans="1:1">
      <c r="A7067" s="61"/>
    </row>
    <row r="7068" spans="1:1">
      <c r="A7068" s="61"/>
    </row>
    <row r="7069" spans="1:1">
      <c r="A7069" s="61"/>
    </row>
    <row r="7070" spans="1:1">
      <c r="A7070" s="61"/>
    </row>
    <row r="7071" spans="1:1">
      <c r="A7071" s="61"/>
    </row>
    <row r="7072" spans="1:1">
      <c r="A7072" s="61"/>
    </row>
    <row r="7073" spans="1:1">
      <c r="A7073" s="61"/>
    </row>
    <row r="7074" spans="1:1">
      <c r="A7074" s="61"/>
    </row>
    <row r="7075" spans="1:1">
      <c r="A7075" s="61"/>
    </row>
    <row r="7076" spans="1:1">
      <c r="A7076" s="61"/>
    </row>
    <row r="7077" spans="1:1">
      <c r="A7077" s="61"/>
    </row>
    <row r="7078" spans="1:1">
      <c r="A7078" s="61"/>
    </row>
    <row r="7079" spans="1:1">
      <c r="A7079" s="61"/>
    </row>
    <row r="7080" spans="1:1">
      <c r="A7080" s="61"/>
    </row>
    <row r="7081" spans="1:1">
      <c r="A7081" s="61"/>
    </row>
    <row r="7082" spans="1:1">
      <c r="A7082" s="61"/>
    </row>
    <row r="7083" spans="1:1">
      <c r="A7083" s="61"/>
    </row>
    <row r="7084" spans="1:1">
      <c r="A7084" s="61"/>
    </row>
    <row r="7085" spans="1:1">
      <c r="A7085" s="61"/>
    </row>
    <row r="7086" spans="1:1">
      <c r="A7086" s="61"/>
    </row>
    <row r="7087" spans="1:1">
      <c r="A7087" s="61"/>
    </row>
    <row r="7088" spans="1:1">
      <c r="A7088" s="61"/>
    </row>
    <row r="7089" spans="1:1">
      <c r="A7089" s="61"/>
    </row>
    <row r="7090" spans="1:1">
      <c r="A7090" s="61"/>
    </row>
    <row r="7091" spans="1:1">
      <c r="A7091" s="61"/>
    </row>
    <row r="7092" spans="1:1">
      <c r="A7092" s="61"/>
    </row>
    <row r="7093" spans="1:1">
      <c r="A7093" s="61"/>
    </row>
    <row r="7094" spans="1:1">
      <c r="A7094" s="61"/>
    </row>
    <row r="7095" spans="1:1">
      <c r="A7095" s="61"/>
    </row>
    <row r="7096" spans="1:1">
      <c r="A7096" s="61"/>
    </row>
    <row r="7097" spans="1:1">
      <c r="A7097" s="61"/>
    </row>
    <row r="7098" spans="1:1">
      <c r="A7098" s="61"/>
    </row>
    <row r="7099" spans="1:1">
      <c r="A7099" s="61"/>
    </row>
    <row r="7100" spans="1:1">
      <c r="A7100" s="61"/>
    </row>
    <row r="7101" spans="1:1">
      <c r="A7101" s="61"/>
    </row>
    <row r="7102" spans="1:1">
      <c r="A7102" s="61"/>
    </row>
    <row r="7103" spans="1:1">
      <c r="A7103" s="61"/>
    </row>
    <row r="7104" spans="1:1">
      <c r="A7104" s="61"/>
    </row>
    <row r="7105" spans="1:1">
      <c r="A7105" s="61"/>
    </row>
    <row r="7106" spans="1:1">
      <c r="A7106" s="61"/>
    </row>
    <row r="7107" spans="1:1">
      <c r="A7107" s="61"/>
    </row>
    <row r="7108" spans="1:1">
      <c r="A7108" s="61"/>
    </row>
    <row r="7109" spans="1:1">
      <c r="A7109" s="61"/>
    </row>
    <row r="7110" spans="1:1">
      <c r="A7110" s="61"/>
    </row>
    <row r="7111" spans="1:1">
      <c r="A7111" s="61"/>
    </row>
    <row r="7112" spans="1:1">
      <c r="A7112" s="61"/>
    </row>
    <row r="7113" spans="1:1">
      <c r="A7113" s="61"/>
    </row>
    <row r="7114" spans="1:1">
      <c r="A7114" s="61"/>
    </row>
    <row r="7115" spans="1:1">
      <c r="A7115" s="61"/>
    </row>
    <row r="7116" spans="1:1">
      <c r="A7116" s="61"/>
    </row>
    <row r="7117" spans="1:1">
      <c r="A7117" s="61"/>
    </row>
    <row r="7118" spans="1:1">
      <c r="A7118" s="61"/>
    </row>
    <row r="7119" spans="1:1">
      <c r="A7119" s="61"/>
    </row>
    <row r="7120" spans="1:1">
      <c r="A7120" s="61"/>
    </row>
    <row r="7121" spans="1:1">
      <c r="A7121" s="61"/>
    </row>
    <row r="7122" spans="1:1">
      <c r="A7122" s="61"/>
    </row>
    <row r="7123" spans="1:1">
      <c r="A7123" s="61"/>
    </row>
    <row r="7124" spans="1:1">
      <c r="A7124" s="61"/>
    </row>
    <row r="7125" spans="1:1">
      <c r="A7125" s="61"/>
    </row>
    <row r="7126" spans="1:1">
      <c r="A7126" s="61"/>
    </row>
    <row r="7127" spans="1:1">
      <c r="A7127" s="61"/>
    </row>
    <row r="7128" spans="1:1">
      <c r="A7128" s="61"/>
    </row>
    <row r="7129" spans="1:1">
      <c r="A7129" s="61"/>
    </row>
    <row r="7130" spans="1:1">
      <c r="A7130" s="61"/>
    </row>
    <row r="7131" spans="1:1">
      <c r="A7131" s="61"/>
    </row>
    <row r="7132" spans="1:1">
      <c r="A7132" s="61"/>
    </row>
    <row r="7133" spans="1:1">
      <c r="A7133" s="61"/>
    </row>
    <row r="7134" spans="1:1">
      <c r="A7134" s="61"/>
    </row>
    <row r="7135" spans="1:1">
      <c r="A7135" s="61"/>
    </row>
    <row r="7136" spans="1:1">
      <c r="A7136" s="61"/>
    </row>
    <row r="7137" spans="1:1">
      <c r="A7137" s="61"/>
    </row>
    <row r="7138" spans="1:1">
      <c r="A7138" s="61"/>
    </row>
    <row r="7139" spans="1:1">
      <c r="A7139" s="61"/>
    </row>
    <row r="7140" spans="1:1">
      <c r="A7140" s="61"/>
    </row>
    <row r="7141" spans="1:1">
      <c r="A7141" s="61"/>
    </row>
    <row r="7142" spans="1:1">
      <c r="A7142" s="61"/>
    </row>
    <row r="7143" spans="1:1">
      <c r="A7143" s="61"/>
    </row>
    <row r="7144" spans="1:1">
      <c r="A7144" s="61"/>
    </row>
    <row r="7145" spans="1:1">
      <c r="A7145" s="61"/>
    </row>
    <row r="7146" spans="1:1">
      <c r="A7146" s="61"/>
    </row>
    <row r="7147" spans="1:1">
      <c r="A7147" s="61"/>
    </row>
    <row r="7148" spans="1:1">
      <c r="A7148" s="61"/>
    </row>
    <row r="7149" spans="1:1">
      <c r="A7149" s="61"/>
    </row>
    <row r="7150" spans="1:1">
      <c r="A7150" s="61"/>
    </row>
    <row r="7151" spans="1:1">
      <c r="A7151" s="61"/>
    </row>
    <row r="7152" spans="1:1">
      <c r="A7152" s="61"/>
    </row>
    <row r="7153" spans="1:1">
      <c r="A7153" s="61"/>
    </row>
    <row r="7154" spans="1:1">
      <c r="A7154" s="61"/>
    </row>
    <row r="7155" spans="1:1">
      <c r="A7155" s="61"/>
    </row>
    <row r="7156" spans="1:1">
      <c r="A7156" s="61"/>
    </row>
    <row r="7157" spans="1:1">
      <c r="A7157" s="61"/>
    </row>
    <row r="7158" spans="1:1">
      <c r="A7158" s="61"/>
    </row>
    <row r="7159" spans="1:1">
      <c r="A7159" s="61"/>
    </row>
    <row r="7160" spans="1:1">
      <c r="A7160" s="61"/>
    </row>
    <row r="7161" spans="1:1">
      <c r="A7161" s="61"/>
    </row>
    <row r="7162" spans="1:1">
      <c r="A7162" s="61"/>
    </row>
    <row r="7163" spans="1:1">
      <c r="A7163" s="61"/>
    </row>
    <row r="7164" spans="1:1">
      <c r="A7164" s="61"/>
    </row>
    <row r="7165" spans="1:1">
      <c r="A7165" s="61"/>
    </row>
    <row r="7166" spans="1:1">
      <c r="A7166" s="61"/>
    </row>
    <row r="7167" spans="1:1">
      <c r="A7167" s="61"/>
    </row>
    <row r="7168" spans="1:1">
      <c r="A7168" s="61"/>
    </row>
    <row r="7169" spans="1:1">
      <c r="A7169" s="61"/>
    </row>
    <row r="7170" spans="1:1">
      <c r="A7170" s="61"/>
    </row>
    <row r="7171" spans="1:1">
      <c r="A7171" s="61"/>
    </row>
    <row r="7172" spans="1:1">
      <c r="A7172" s="61"/>
    </row>
    <row r="7173" spans="1:1">
      <c r="A7173" s="61"/>
    </row>
    <row r="7174" spans="1:1">
      <c r="A7174" s="61"/>
    </row>
    <row r="7175" spans="1:1">
      <c r="A7175" s="61"/>
    </row>
    <row r="7176" spans="1:1">
      <c r="A7176" s="61"/>
    </row>
    <row r="7177" spans="1:1">
      <c r="A7177" s="61"/>
    </row>
    <row r="7178" spans="1:1">
      <c r="A7178" s="61"/>
    </row>
    <row r="7179" spans="1:1">
      <c r="A7179" s="61"/>
    </row>
    <row r="7180" spans="1:1">
      <c r="A7180" s="61"/>
    </row>
    <row r="7181" spans="1:1">
      <c r="A7181" s="61"/>
    </row>
    <row r="7182" spans="1:1">
      <c r="A7182" s="61"/>
    </row>
    <row r="7183" spans="1:1">
      <c r="A7183" s="61"/>
    </row>
    <row r="7184" spans="1:1">
      <c r="A7184" s="61"/>
    </row>
    <row r="7185" spans="1:1">
      <c r="A7185" s="61"/>
    </row>
    <row r="7186" spans="1:1">
      <c r="A7186" s="61"/>
    </row>
    <row r="7187" spans="1:1">
      <c r="A7187" s="61"/>
    </row>
    <row r="7188" spans="1:1">
      <c r="A7188" s="61"/>
    </row>
    <row r="7189" spans="1:1">
      <c r="A7189" s="61"/>
    </row>
    <row r="7190" spans="1:1">
      <c r="A7190" s="61"/>
    </row>
    <row r="7191" spans="1:1">
      <c r="A7191" s="61"/>
    </row>
    <row r="7192" spans="1:1">
      <c r="A7192" s="61"/>
    </row>
    <row r="7193" spans="1:1">
      <c r="A7193" s="61"/>
    </row>
    <row r="7194" spans="1:1">
      <c r="A7194" s="61"/>
    </row>
    <row r="7195" spans="1:1">
      <c r="A7195" s="61"/>
    </row>
    <row r="7196" spans="1:1">
      <c r="A7196" s="61"/>
    </row>
    <row r="7197" spans="1:1">
      <c r="A7197" s="61"/>
    </row>
    <row r="7198" spans="1:1">
      <c r="A7198" s="61"/>
    </row>
    <row r="7199" spans="1:1">
      <c r="A7199" s="61"/>
    </row>
    <row r="7200" spans="1:1">
      <c r="A7200" s="61"/>
    </row>
    <row r="7201" spans="1:1">
      <c r="A7201" s="61"/>
    </row>
    <row r="7202" spans="1:1">
      <c r="A7202" s="61"/>
    </row>
    <row r="7203" spans="1:1">
      <c r="A7203" s="61"/>
    </row>
    <row r="7204" spans="1:1">
      <c r="A7204" s="61"/>
    </row>
    <row r="7205" spans="1:1">
      <c r="A7205" s="61"/>
    </row>
    <row r="7206" spans="1:1">
      <c r="A7206" s="61"/>
    </row>
    <row r="7207" spans="1:1">
      <c r="A7207" s="61"/>
    </row>
    <row r="7208" spans="1:1">
      <c r="A7208" s="61"/>
    </row>
    <row r="7209" spans="1:1">
      <c r="A7209" s="61"/>
    </row>
    <row r="7210" spans="1:1">
      <c r="A7210" s="61"/>
    </row>
    <row r="7211" spans="1:1">
      <c r="A7211" s="61"/>
    </row>
    <row r="7212" spans="1:1">
      <c r="A7212" s="61"/>
    </row>
    <row r="7213" spans="1:1">
      <c r="A7213" s="61"/>
    </row>
    <row r="7214" spans="1:1">
      <c r="A7214" s="61"/>
    </row>
    <row r="7215" spans="1:1">
      <c r="A7215" s="61"/>
    </row>
    <row r="7216" spans="1:1">
      <c r="A7216" s="61"/>
    </row>
    <row r="7217" spans="1:1">
      <c r="A7217" s="61"/>
    </row>
    <row r="7218" spans="1:1">
      <c r="A7218" s="61"/>
    </row>
    <row r="7219" spans="1:1">
      <c r="A7219" s="61"/>
    </row>
    <row r="7220" spans="1:1">
      <c r="A7220" s="61"/>
    </row>
    <row r="7221" spans="1:1">
      <c r="A7221" s="61"/>
    </row>
    <row r="7222" spans="1:1">
      <c r="A7222" s="61"/>
    </row>
    <row r="7223" spans="1:1">
      <c r="A7223" s="61"/>
    </row>
    <row r="7224" spans="1:1">
      <c r="A7224" s="61"/>
    </row>
    <row r="7225" spans="1:1">
      <c r="A7225" s="61"/>
    </row>
    <row r="7226" spans="1:1">
      <c r="A7226" s="61"/>
    </row>
    <row r="7227" spans="1:1">
      <c r="A7227" s="61"/>
    </row>
    <row r="7228" spans="1:1">
      <c r="A7228" s="61"/>
    </row>
    <row r="7229" spans="1:1">
      <c r="A7229" s="61"/>
    </row>
    <row r="7230" spans="1:1">
      <c r="A7230" s="61"/>
    </row>
    <row r="7231" spans="1:1">
      <c r="A7231" s="61"/>
    </row>
    <row r="7232" spans="1:1">
      <c r="A7232" s="61"/>
    </row>
    <row r="7233" spans="1:1">
      <c r="A7233" s="61"/>
    </row>
    <row r="7234" spans="1:1">
      <c r="A7234" s="61"/>
    </row>
    <row r="7235" spans="1:1">
      <c r="A7235" s="61"/>
    </row>
    <row r="7236" spans="1:1">
      <c r="A7236" s="61"/>
    </row>
    <row r="7237" spans="1:1">
      <c r="A7237" s="61"/>
    </row>
    <row r="7238" spans="1:1">
      <c r="A7238" s="61"/>
    </row>
    <row r="7239" spans="1:1">
      <c r="A7239" s="61"/>
    </row>
    <row r="7240" spans="1:1">
      <c r="A7240" s="61"/>
    </row>
    <row r="7241" spans="1:1">
      <c r="A7241" s="61"/>
    </row>
    <row r="7242" spans="1:1">
      <c r="A7242" s="61"/>
    </row>
    <row r="7243" spans="1:1">
      <c r="A7243" s="61"/>
    </row>
    <row r="7244" spans="1:1">
      <c r="A7244" s="61"/>
    </row>
    <row r="7245" spans="1:1">
      <c r="A7245" s="61"/>
    </row>
    <row r="7246" spans="1:1">
      <c r="A7246" s="61"/>
    </row>
    <row r="7247" spans="1:1">
      <c r="A7247" s="61"/>
    </row>
    <row r="7248" spans="1:1">
      <c r="A7248" s="61"/>
    </row>
    <row r="7249" spans="1:1">
      <c r="A7249" s="61"/>
    </row>
    <row r="7250" spans="1:1">
      <c r="A7250" s="61"/>
    </row>
    <row r="7251" spans="1:1">
      <c r="A7251" s="61"/>
    </row>
    <row r="7252" spans="1:1">
      <c r="A7252" s="61"/>
    </row>
    <row r="7253" spans="1:1">
      <c r="A7253" s="61"/>
    </row>
    <row r="7254" spans="1:1">
      <c r="A7254" s="61"/>
    </row>
    <row r="7255" spans="1:1">
      <c r="A7255" s="61"/>
    </row>
    <row r="7256" spans="1:1">
      <c r="A7256" s="61"/>
    </row>
    <row r="7257" spans="1:1">
      <c r="A7257" s="61"/>
    </row>
    <row r="7258" spans="1:1">
      <c r="A7258" s="61"/>
    </row>
    <row r="7259" spans="1:1">
      <c r="A7259" s="61"/>
    </row>
    <row r="7260" spans="1:1">
      <c r="A7260" s="61"/>
    </row>
    <row r="7261" spans="1:1">
      <c r="A7261" s="61"/>
    </row>
    <row r="7262" spans="1:1">
      <c r="A7262" s="61"/>
    </row>
    <row r="7263" spans="1:1">
      <c r="A7263" s="61"/>
    </row>
    <row r="7264" spans="1:1">
      <c r="A7264" s="61"/>
    </row>
    <row r="7265" spans="1:1">
      <c r="A7265" s="61"/>
    </row>
    <row r="7266" spans="1:1">
      <c r="A7266" s="61"/>
    </row>
    <row r="7267" spans="1:1">
      <c r="A7267" s="61"/>
    </row>
    <row r="7268" spans="1:1">
      <c r="A7268" s="61"/>
    </row>
    <row r="7269" spans="1:1">
      <c r="A7269" s="61"/>
    </row>
    <row r="7270" spans="1:1">
      <c r="A7270" s="61"/>
    </row>
    <row r="7271" spans="1:1">
      <c r="A7271" s="61"/>
    </row>
    <row r="7272" spans="1:1">
      <c r="A7272" s="61"/>
    </row>
    <row r="7273" spans="1:1">
      <c r="A7273" s="61"/>
    </row>
    <row r="7274" spans="1:1">
      <c r="A7274" s="61"/>
    </row>
    <row r="7275" spans="1:1">
      <c r="A7275" s="61"/>
    </row>
    <row r="7276" spans="1:1">
      <c r="A7276" s="61"/>
    </row>
    <row r="7277" spans="1:1">
      <c r="A7277" s="61"/>
    </row>
    <row r="7278" spans="1:1">
      <c r="A7278" s="61"/>
    </row>
    <row r="7279" spans="1:1">
      <c r="A7279" s="61"/>
    </row>
    <row r="7280" spans="1:1">
      <c r="A7280" s="61"/>
    </row>
    <row r="7281" spans="1:1">
      <c r="A7281" s="61"/>
    </row>
    <row r="7282" spans="1:1">
      <c r="A7282" s="61"/>
    </row>
    <row r="7283" spans="1:1">
      <c r="A7283" s="61"/>
    </row>
    <row r="7284" spans="1:1">
      <c r="A7284" s="61"/>
    </row>
    <row r="7285" spans="1:1">
      <c r="A7285" s="61"/>
    </row>
    <row r="7286" spans="1:1">
      <c r="A7286" s="61"/>
    </row>
    <row r="7287" spans="1:1">
      <c r="A7287" s="61"/>
    </row>
    <row r="7288" spans="1:1">
      <c r="A7288" s="61"/>
    </row>
    <row r="7289" spans="1:1">
      <c r="A7289" s="61"/>
    </row>
    <row r="7290" spans="1:1">
      <c r="A7290" s="61"/>
    </row>
    <row r="7291" spans="1:1">
      <c r="A7291" s="61"/>
    </row>
    <row r="7292" spans="1:1">
      <c r="A7292" s="61"/>
    </row>
    <row r="7293" spans="1:1">
      <c r="A7293" s="61"/>
    </row>
    <row r="7294" spans="1:1">
      <c r="A7294" s="61"/>
    </row>
    <row r="7295" spans="1:1">
      <c r="A7295" s="61"/>
    </row>
    <row r="7296" spans="1:1">
      <c r="A7296" s="61"/>
    </row>
    <row r="7297" spans="1:1">
      <c r="A7297" s="61"/>
    </row>
    <row r="7298" spans="1:1">
      <c r="A7298" s="61"/>
    </row>
    <row r="7299" spans="1:1">
      <c r="A7299" s="61"/>
    </row>
    <row r="7300" spans="1:1">
      <c r="A7300" s="61"/>
    </row>
    <row r="7301" spans="1:1">
      <c r="A7301" s="61"/>
    </row>
    <row r="7302" spans="1:1">
      <c r="A7302" s="61"/>
    </row>
    <row r="7303" spans="1:1">
      <c r="A7303" s="61"/>
    </row>
    <row r="7304" spans="1:1">
      <c r="A7304" s="61"/>
    </row>
    <row r="7305" spans="1:1">
      <c r="A7305" s="61"/>
    </row>
    <row r="7306" spans="1:1">
      <c r="A7306" s="61"/>
    </row>
    <row r="7307" spans="1:1">
      <c r="A7307" s="61"/>
    </row>
    <row r="7308" spans="1:1">
      <c r="A7308" s="61"/>
    </row>
    <row r="7309" spans="1:1">
      <c r="A7309" s="61"/>
    </row>
    <row r="7310" spans="1:1">
      <c r="A7310" s="61"/>
    </row>
    <row r="7311" spans="1:1">
      <c r="A7311" s="61"/>
    </row>
    <row r="7312" spans="1:1">
      <c r="A7312" s="61"/>
    </row>
    <row r="7313" spans="1:1">
      <c r="A7313" s="61"/>
    </row>
    <row r="7314" spans="1:1">
      <c r="A7314" s="61"/>
    </row>
    <row r="7315" spans="1:1">
      <c r="A7315" s="61"/>
    </row>
    <row r="7316" spans="1:1">
      <c r="A7316" s="61"/>
    </row>
    <row r="7317" spans="1:1">
      <c r="A7317" s="61"/>
    </row>
    <row r="7318" spans="1:1">
      <c r="A7318" s="61"/>
    </row>
    <row r="7319" spans="1:1">
      <c r="A7319" s="61"/>
    </row>
    <row r="7320" spans="1:1">
      <c r="A7320" s="61"/>
    </row>
    <row r="7321" spans="1:1">
      <c r="A7321" s="61"/>
    </row>
    <row r="7322" spans="1:1">
      <c r="A7322" s="61"/>
    </row>
    <row r="7323" spans="1:1">
      <c r="A7323" s="61"/>
    </row>
    <row r="7324" spans="1:1">
      <c r="A7324" s="61"/>
    </row>
    <row r="7325" spans="1:1">
      <c r="A7325" s="61"/>
    </row>
    <row r="7326" spans="1:1">
      <c r="A7326" s="61"/>
    </row>
    <row r="7327" spans="1:1">
      <c r="A7327" s="61"/>
    </row>
    <row r="7328" spans="1:1">
      <c r="A7328" s="61"/>
    </row>
    <row r="7329" spans="1:1">
      <c r="A7329" s="61"/>
    </row>
    <row r="7330" spans="1:1">
      <c r="A7330" s="61"/>
    </row>
    <row r="7331" spans="1:1">
      <c r="A7331" s="61"/>
    </row>
    <row r="7332" spans="1:1">
      <c r="A7332" s="61"/>
    </row>
    <row r="7333" spans="1:1">
      <c r="A7333" s="61"/>
    </row>
    <row r="7334" spans="1:1">
      <c r="A7334" s="61"/>
    </row>
    <row r="7335" spans="1:1">
      <c r="A7335" s="61"/>
    </row>
    <row r="7336" spans="1:1">
      <c r="A7336" s="61"/>
    </row>
    <row r="7337" spans="1:1">
      <c r="A7337" s="61"/>
    </row>
    <row r="7338" spans="1:1">
      <c r="A7338" s="61"/>
    </row>
    <row r="7339" spans="1:1">
      <c r="A7339" s="61"/>
    </row>
    <row r="7340" spans="1:1">
      <c r="A7340" s="61"/>
    </row>
    <row r="7341" spans="1:1">
      <c r="A7341" s="61"/>
    </row>
    <row r="7342" spans="1:1">
      <c r="A7342" s="61"/>
    </row>
    <row r="7343" spans="1:1">
      <c r="A7343" s="61"/>
    </row>
    <row r="7344" spans="1:1">
      <c r="A7344" s="61"/>
    </row>
    <row r="7345" spans="1:1">
      <c r="A7345" s="61"/>
    </row>
    <row r="7346" spans="1:1">
      <c r="A7346" s="61"/>
    </row>
    <row r="7347" spans="1:1">
      <c r="A7347" s="61"/>
    </row>
    <row r="7348" spans="1:1">
      <c r="A7348" s="61"/>
    </row>
    <row r="7349" spans="1:1">
      <c r="A7349" s="61"/>
    </row>
    <row r="7350" spans="1:1">
      <c r="A7350" s="61"/>
    </row>
    <row r="7351" spans="1:1">
      <c r="A7351" s="61"/>
    </row>
    <row r="7352" spans="1:1">
      <c r="A7352" s="61"/>
    </row>
    <row r="7353" spans="1:1">
      <c r="A7353" s="61"/>
    </row>
    <row r="7354" spans="1:1">
      <c r="A7354" s="61"/>
    </row>
    <row r="7355" spans="1:1">
      <c r="A7355" s="61"/>
    </row>
    <row r="7356" spans="1:1">
      <c r="A7356" s="61"/>
    </row>
    <row r="7357" spans="1:1">
      <c r="A7357" s="61"/>
    </row>
    <row r="7358" spans="1:1">
      <c r="A7358" s="61"/>
    </row>
    <row r="7359" spans="1:1">
      <c r="A7359" s="61"/>
    </row>
    <row r="7360" spans="1:1">
      <c r="A7360" s="61"/>
    </row>
    <row r="7361" spans="1:1">
      <c r="A7361" s="61"/>
    </row>
    <row r="7362" spans="1:1">
      <c r="A7362" s="61"/>
    </row>
    <row r="7363" spans="1:1">
      <c r="A7363" s="61"/>
    </row>
    <row r="7364" spans="1:1">
      <c r="A7364" s="61"/>
    </row>
    <row r="7365" spans="1:1">
      <c r="A7365" s="61"/>
    </row>
    <row r="7366" spans="1:1">
      <c r="A7366" s="61"/>
    </row>
    <row r="7367" spans="1:1">
      <c r="A7367" s="61"/>
    </row>
    <row r="7368" spans="1:1">
      <c r="A7368" s="61"/>
    </row>
    <row r="7369" spans="1:1">
      <c r="A7369" s="61"/>
    </row>
    <row r="7370" spans="1:1">
      <c r="A7370" s="61"/>
    </row>
    <row r="7371" spans="1:1">
      <c r="A7371" s="61"/>
    </row>
    <row r="7372" spans="1:1">
      <c r="A7372" s="61"/>
    </row>
    <row r="7373" spans="1:1">
      <c r="A7373" s="61"/>
    </row>
    <row r="7374" spans="1:1">
      <c r="A7374" s="61"/>
    </row>
    <row r="7375" spans="1:1">
      <c r="A7375" s="61"/>
    </row>
    <row r="7376" spans="1:1">
      <c r="A7376" s="61"/>
    </row>
    <row r="7377" spans="1:1">
      <c r="A7377" s="61"/>
    </row>
    <row r="7378" spans="1:1">
      <c r="A7378" s="61"/>
    </row>
    <row r="7379" spans="1:1">
      <c r="A7379" s="61"/>
    </row>
    <row r="7380" spans="1:1">
      <c r="A7380" s="61"/>
    </row>
    <row r="7381" spans="1:1">
      <c r="A7381" s="61"/>
    </row>
    <row r="7382" spans="1:1">
      <c r="A7382" s="61"/>
    </row>
    <row r="7383" spans="1:1">
      <c r="A7383" s="61"/>
    </row>
    <row r="7384" spans="1:1">
      <c r="A7384" s="61"/>
    </row>
    <row r="7385" spans="1:1">
      <c r="A7385" s="61"/>
    </row>
    <row r="7386" spans="1:1">
      <c r="A7386" s="61"/>
    </row>
    <row r="7387" spans="1:1">
      <c r="A7387" s="61"/>
    </row>
    <row r="7388" spans="1:1">
      <c r="A7388" s="61"/>
    </row>
    <row r="7389" spans="1:1">
      <c r="A7389" s="61"/>
    </row>
    <row r="7390" spans="1:1">
      <c r="A7390" s="61"/>
    </row>
    <row r="7391" spans="1:1">
      <c r="A7391" s="61"/>
    </row>
    <row r="7392" spans="1:1">
      <c r="A7392" s="61"/>
    </row>
    <row r="7393" spans="1:1">
      <c r="A7393" s="61"/>
    </row>
    <row r="7394" spans="1:1">
      <c r="A7394" s="61"/>
    </row>
    <row r="7395" spans="1:1">
      <c r="A7395" s="61"/>
    </row>
    <row r="7396" spans="1:1">
      <c r="A7396" s="61"/>
    </row>
    <row r="7397" spans="1:1">
      <c r="A7397" s="61"/>
    </row>
    <row r="7398" spans="1:1">
      <c r="A7398" s="61"/>
    </row>
    <row r="7399" spans="1:1">
      <c r="A7399" s="61"/>
    </row>
    <row r="7400" spans="1:1">
      <c r="A7400" s="61"/>
    </row>
    <row r="7401" spans="1:1">
      <c r="A7401" s="61"/>
    </row>
    <row r="7402" spans="1:1">
      <c r="A7402" s="61"/>
    </row>
    <row r="7403" spans="1:1">
      <c r="A7403" s="61"/>
    </row>
    <row r="7404" spans="1:1">
      <c r="A7404" s="61"/>
    </row>
    <row r="7405" spans="1:1">
      <c r="A7405" s="61"/>
    </row>
    <row r="7406" spans="1:1">
      <c r="A7406" s="61"/>
    </row>
    <row r="7407" spans="1:1">
      <c r="A7407" s="61"/>
    </row>
    <row r="7408" spans="1:1">
      <c r="A7408" s="61"/>
    </row>
    <row r="7409" spans="1:1">
      <c r="A7409" s="61"/>
    </row>
    <row r="7410" spans="1:1">
      <c r="A7410" s="61"/>
    </row>
    <row r="7411" spans="1:1">
      <c r="A7411" s="61"/>
    </row>
    <row r="7412" spans="1:1">
      <c r="A7412" s="61"/>
    </row>
    <row r="7413" spans="1:1">
      <c r="A7413" s="61"/>
    </row>
    <row r="7414" spans="1:1">
      <c r="A7414" s="61"/>
    </row>
    <row r="7415" spans="1:1">
      <c r="A7415" s="61"/>
    </row>
    <row r="7416" spans="1:1">
      <c r="A7416" s="61"/>
    </row>
    <row r="7417" spans="1:1">
      <c r="A7417" s="61"/>
    </row>
    <row r="7418" spans="1:1">
      <c r="A7418" s="61"/>
    </row>
    <row r="7419" spans="1:1">
      <c r="A7419" s="61"/>
    </row>
    <row r="7420" spans="1:1">
      <c r="A7420" s="61"/>
    </row>
    <row r="7421" spans="1:1">
      <c r="A7421" s="61"/>
    </row>
    <row r="7422" spans="1:1">
      <c r="A7422" s="61"/>
    </row>
    <row r="7423" spans="1:1">
      <c r="A7423" s="61"/>
    </row>
    <row r="7424" spans="1:1">
      <c r="A7424" s="61"/>
    </row>
    <row r="7425" spans="1:1">
      <c r="A7425" s="61"/>
    </row>
    <row r="7426" spans="1:1">
      <c r="A7426" s="61"/>
    </row>
    <row r="7427" spans="1:1">
      <c r="A7427" s="61"/>
    </row>
    <row r="7428" spans="1:1">
      <c r="A7428" s="61"/>
    </row>
    <row r="7429" spans="1:1">
      <c r="A7429" s="61"/>
    </row>
    <row r="7430" spans="1:1">
      <c r="A7430" s="61"/>
    </row>
    <row r="7431" spans="1:1">
      <c r="A7431" s="61"/>
    </row>
    <row r="7432" spans="1:1">
      <c r="A7432" s="61"/>
    </row>
    <row r="7433" spans="1:1">
      <c r="A7433" s="61"/>
    </row>
    <row r="7434" spans="1:1">
      <c r="A7434" s="61"/>
    </row>
    <row r="7435" spans="1:1">
      <c r="A7435" s="61"/>
    </row>
    <row r="7436" spans="1:1">
      <c r="A7436" s="61"/>
    </row>
    <row r="7437" spans="1:1">
      <c r="A7437" s="61"/>
    </row>
    <row r="7438" spans="1:1">
      <c r="A7438" s="61"/>
    </row>
    <row r="7439" spans="1:1">
      <c r="A7439" s="61"/>
    </row>
    <row r="7440" spans="1:1">
      <c r="A7440" s="61"/>
    </row>
    <row r="7441" spans="1:1">
      <c r="A7441" s="61"/>
    </row>
    <row r="7442" spans="1:1">
      <c r="A7442" s="61"/>
    </row>
    <row r="7443" spans="1:1">
      <c r="A7443" s="61"/>
    </row>
    <row r="7444" spans="1:1">
      <c r="A7444" s="61"/>
    </row>
    <row r="7445" spans="1:1">
      <c r="A7445" s="61"/>
    </row>
    <row r="7446" spans="1:1">
      <c r="A7446" s="61"/>
    </row>
    <row r="7447" spans="1:1">
      <c r="A7447" s="61"/>
    </row>
    <row r="7448" spans="1:1">
      <c r="A7448" s="61"/>
    </row>
    <row r="7449" spans="1:1">
      <c r="A7449" s="61"/>
    </row>
    <row r="7450" spans="1:1">
      <c r="A7450" s="61"/>
    </row>
    <row r="7451" spans="1:1">
      <c r="A7451" s="61"/>
    </row>
    <row r="7452" spans="1:1">
      <c r="A7452" s="61"/>
    </row>
    <row r="7453" spans="1:1">
      <c r="A7453" s="61"/>
    </row>
    <row r="7454" spans="1:1">
      <c r="A7454" s="61"/>
    </row>
    <row r="7455" spans="1:1">
      <c r="A7455" s="61"/>
    </row>
    <row r="7456" spans="1:1">
      <c r="A7456" s="61"/>
    </row>
    <row r="7457" spans="1:1">
      <c r="A7457" s="61"/>
    </row>
    <row r="7458" spans="1:1">
      <c r="A7458" s="61"/>
    </row>
    <row r="7459" spans="1:1">
      <c r="A7459" s="61"/>
    </row>
    <row r="7460" spans="1:1">
      <c r="A7460" s="61"/>
    </row>
    <row r="7461" spans="1:1">
      <c r="A7461" s="61"/>
    </row>
    <row r="7462" spans="1:1">
      <c r="A7462" s="61"/>
    </row>
    <row r="7463" spans="1:1">
      <c r="A7463" s="61"/>
    </row>
    <row r="7464" spans="1:1">
      <c r="A7464" s="61"/>
    </row>
    <row r="7465" spans="1:1">
      <c r="A7465" s="61"/>
    </row>
    <row r="7466" spans="1:1">
      <c r="A7466" s="61"/>
    </row>
    <row r="7467" spans="1:1">
      <c r="A7467" s="61"/>
    </row>
    <row r="7468" spans="1:1">
      <c r="A7468" s="61"/>
    </row>
    <row r="7469" spans="1:1">
      <c r="A7469" s="61"/>
    </row>
    <row r="7470" spans="1:1">
      <c r="A7470" s="61"/>
    </row>
    <row r="7471" spans="1:1">
      <c r="A7471" s="61"/>
    </row>
    <row r="7472" spans="1:1">
      <c r="A7472" s="61"/>
    </row>
    <row r="7473" spans="1:1">
      <c r="A7473" s="61"/>
    </row>
    <row r="7474" spans="1:1">
      <c r="A7474" s="61"/>
    </row>
    <row r="7475" spans="1:1">
      <c r="A7475" s="61"/>
    </row>
    <row r="7476" spans="1:1">
      <c r="A7476" s="61"/>
    </row>
    <row r="7477" spans="1:1">
      <c r="A7477" s="61"/>
    </row>
    <row r="7478" spans="1:1">
      <c r="A7478" s="61"/>
    </row>
    <row r="7479" spans="1:1">
      <c r="A7479" s="61"/>
    </row>
    <row r="7480" spans="1:1">
      <c r="A7480" s="61"/>
    </row>
    <row r="7481" spans="1:1">
      <c r="A7481" s="61"/>
    </row>
    <row r="7482" spans="1:1">
      <c r="A7482" s="61"/>
    </row>
    <row r="7483" spans="1:1">
      <c r="A7483" s="61"/>
    </row>
    <row r="7484" spans="1:1">
      <c r="A7484" s="61"/>
    </row>
    <row r="7485" spans="1:1">
      <c r="A7485" s="61"/>
    </row>
    <row r="7486" spans="1:1">
      <c r="A7486" s="61"/>
    </row>
    <row r="7487" spans="1:1">
      <c r="A7487" s="61"/>
    </row>
    <row r="7488" spans="1:1">
      <c r="A7488" s="61"/>
    </row>
    <row r="7489" spans="1:1">
      <c r="A7489" s="61"/>
    </row>
    <row r="7490" spans="1:1">
      <c r="A7490" s="61"/>
    </row>
    <row r="7491" spans="1:1">
      <c r="A7491" s="61"/>
    </row>
    <row r="7492" spans="1:1">
      <c r="A7492" s="61"/>
    </row>
    <row r="7493" spans="1:1">
      <c r="A7493" s="61"/>
    </row>
    <row r="7494" spans="1:1">
      <c r="A7494" s="61"/>
    </row>
    <row r="7495" spans="1:1">
      <c r="A7495" s="61"/>
    </row>
    <row r="7496" spans="1:1">
      <c r="A7496" s="61"/>
    </row>
    <row r="7497" spans="1:1">
      <c r="A7497" s="61"/>
    </row>
    <row r="7498" spans="1:1">
      <c r="A7498" s="61"/>
    </row>
    <row r="7499" spans="1:1">
      <c r="A7499" s="61"/>
    </row>
    <row r="7500" spans="1:1">
      <c r="A7500" s="61"/>
    </row>
    <row r="7501" spans="1:1">
      <c r="A7501" s="61"/>
    </row>
    <row r="7502" spans="1:1">
      <c r="A7502" s="61"/>
    </row>
    <row r="7503" spans="1:1">
      <c r="A7503" s="61"/>
    </row>
    <row r="7504" spans="1:1">
      <c r="A7504" s="61"/>
    </row>
    <row r="7505" spans="1:1">
      <c r="A7505" s="61"/>
    </row>
    <row r="7506" spans="1:1">
      <c r="A7506" s="61"/>
    </row>
    <row r="7507" spans="1:1">
      <c r="A7507" s="61"/>
    </row>
    <row r="7508" spans="1:1">
      <c r="A7508" s="61"/>
    </row>
    <row r="7509" spans="1:1">
      <c r="A7509" s="61"/>
    </row>
    <row r="7510" spans="1:1">
      <c r="A7510" s="61"/>
    </row>
    <row r="7511" spans="1:1">
      <c r="A7511" s="61"/>
    </row>
    <row r="7512" spans="1:1">
      <c r="A7512" s="61"/>
    </row>
    <row r="7513" spans="1:1">
      <c r="A7513" s="61"/>
    </row>
    <row r="7514" spans="1:1">
      <c r="A7514" s="61"/>
    </row>
    <row r="7515" spans="1:1">
      <c r="A7515" s="61"/>
    </row>
    <row r="7516" spans="1:1">
      <c r="A7516" s="61"/>
    </row>
    <row r="7517" spans="1:1">
      <c r="A7517" s="61"/>
    </row>
    <row r="7518" spans="1:1">
      <c r="A7518" s="61"/>
    </row>
    <row r="7519" spans="1:1">
      <c r="A7519" s="61"/>
    </row>
    <row r="7520" spans="1:1">
      <c r="A7520" s="61"/>
    </row>
    <row r="7521" spans="1:1">
      <c r="A7521" s="61"/>
    </row>
    <row r="7522" spans="1:1">
      <c r="A7522" s="61"/>
    </row>
    <row r="7523" spans="1:1">
      <c r="A7523" s="61"/>
    </row>
    <row r="7524" spans="1:1">
      <c r="A7524" s="61"/>
    </row>
    <row r="7525" spans="1:1">
      <c r="A7525" s="61"/>
    </row>
    <row r="7526" spans="1:1">
      <c r="A7526" s="61"/>
    </row>
    <row r="7527" spans="1:1">
      <c r="A7527" s="61"/>
    </row>
    <row r="7528" spans="1:1">
      <c r="A7528" s="61"/>
    </row>
    <row r="7529" spans="1:1">
      <c r="A7529" s="61"/>
    </row>
    <row r="7530" spans="1:1">
      <c r="A7530" s="61"/>
    </row>
    <row r="7531" spans="1:1">
      <c r="A7531" s="61"/>
    </row>
    <row r="7532" spans="1:1">
      <c r="A7532" s="61"/>
    </row>
    <row r="7533" spans="1:1">
      <c r="A7533" s="61"/>
    </row>
    <row r="7534" spans="1:1">
      <c r="A7534" s="61"/>
    </row>
    <row r="7535" spans="1:1">
      <c r="A7535" s="61"/>
    </row>
    <row r="7536" spans="1:1">
      <c r="A7536" s="61"/>
    </row>
    <row r="7537" spans="1:1">
      <c r="A7537" s="61"/>
    </row>
    <row r="7538" spans="1:1">
      <c r="A7538" s="61"/>
    </row>
    <row r="7539" spans="1:1">
      <c r="A7539" s="61"/>
    </row>
    <row r="7540" spans="1:1">
      <c r="A7540" s="61"/>
    </row>
    <row r="7541" spans="1:1">
      <c r="A7541" s="61"/>
    </row>
    <row r="7542" spans="1:1">
      <c r="A7542" s="61"/>
    </row>
    <row r="7543" spans="1:1">
      <c r="A7543" s="61"/>
    </row>
    <row r="7544" spans="1:1">
      <c r="A7544" s="61"/>
    </row>
    <row r="7545" spans="1:1">
      <c r="A7545" s="61"/>
    </row>
    <row r="7546" spans="1:1">
      <c r="A7546" s="61"/>
    </row>
    <row r="7547" spans="1:1">
      <c r="A7547" s="61"/>
    </row>
    <row r="7548" spans="1:1">
      <c r="A7548" s="61"/>
    </row>
    <row r="7549" spans="1:1">
      <c r="A7549" s="61"/>
    </row>
    <row r="7550" spans="1:1">
      <c r="A7550" s="61"/>
    </row>
    <row r="7551" spans="1:1">
      <c r="A7551" s="61"/>
    </row>
    <row r="7552" spans="1:1">
      <c r="A7552" s="61"/>
    </row>
    <row r="7553" spans="1:1">
      <c r="A7553" s="61"/>
    </row>
    <row r="7554" spans="1:1">
      <c r="A7554" s="61"/>
    </row>
    <row r="7555" spans="1:1">
      <c r="A7555" s="61"/>
    </row>
    <row r="7556" spans="1:1">
      <c r="A7556" s="61"/>
    </row>
    <row r="7557" spans="1:1">
      <c r="A7557" s="61"/>
    </row>
    <row r="7558" spans="1:1">
      <c r="A7558" s="61"/>
    </row>
    <row r="7559" spans="1:1">
      <c r="A7559" s="61"/>
    </row>
    <row r="7560" spans="1:1">
      <c r="A7560" s="61"/>
    </row>
    <row r="7561" spans="1:1">
      <c r="A7561" s="61"/>
    </row>
    <row r="7562" spans="1:1">
      <c r="A7562" s="61"/>
    </row>
    <row r="7563" spans="1:1">
      <c r="A7563" s="61"/>
    </row>
    <row r="7564" spans="1:1">
      <c r="A7564" s="61"/>
    </row>
    <row r="7565" spans="1:1">
      <c r="A7565" s="61"/>
    </row>
    <row r="7566" spans="1:1">
      <c r="A7566" s="61"/>
    </row>
    <row r="7567" spans="1:1">
      <c r="A7567" s="61"/>
    </row>
    <row r="7568" spans="1:1">
      <c r="A7568" s="61"/>
    </row>
    <row r="7569" spans="1:1">
      <c r="A7569" s="61"/>
    </row>
    <row r="7570" spans="1:1">
      <c r="A7570" s="61"/>
    </row>
    <row r="7571" spans="1:1">
      <c r="A7571" s="61"/>
    </row>
    <row r="7572" spans="1:1">
      <c r="A7572" s="61"/>
    </row>
    <row r="7573" spans="1:1">
      <c r="A7573" s="61"/>
    </row>
    <row r="7574" spans="1:1">
      <c r="A7574" s="61"/>
    </row>
    <row r="7575" spans="1:1">
      <c r="A7575" s="61"/>
    </row>
    <row r="7576" spans="1:1">
      <c r="A7576" s="61"/>
    </row>
    <row r="7577" spans="1:1">
      <c r="A7577" s="61"/>
    </row>
    <row r="7578" spans="1:1">
      <c r="A7578" s="61"/>
    </row>
    <row r="7579" spans="1:1">
      <c r="A7579" s="61"/>
    </row>
    <row r="7580" spans="1:1">
      <c r="A7580" s="61"/>
    </row>
    <row r="7581" spans="1:1">
      <c r="A7581" s="61"/>
    </row>
    <row r="7582" spans="1:1">
      <c r="A7582" s="61"/>
    </row>
    <row r="7583" spans="1:1">
      <c r="A7583" s="61"/>
    </row>
    <row r="7584" spans="1:1">
      <c r="A7584" s="61"/>
    </row>
    <row r="7585" spans="1:1">
      <c r="A7585" s="61"/>
    </row>
    <row r="7586" spans="1:1">
      <c r="A7586" s="61"/>
    </row>
    <row r="7587" spans="1:1">
      <c r="A7587" s="61"/>
    </row>
    <row r="7588" spans="1:1">
      <c r="A7588" s="61"/>
    </row>
    <row r="7589" spans="1:1">
      <c r="A7589" s="61"/>
    </row>
    <row r="7590" spans="1:1">
      <c r="A7590" s="61"/>
    </row>
    <row r="7591" spans="1:1">
      <c r="A7591" s="61"/>
    </row>
    <row r="7592" spans="1:1">
      <c r="A7592" s="61"/>
    </row>
    <row r="7593" spans="1:1">
      <c r="A7593" s="61"/>
    </row>
    <row r="7594" spans="1:1">
      <c r="A7594" s="61"/>
    </row>
    <row r="7595" spans="1:1">
      <c r="A7595" s="61"/>
    </row>
    <row r="7596" spans="1:1">
      <c r="A7596" s="61"/>
    </row>
    <row r="7597" spans="1:1">
      <c r="A7597" s="61"/>
    </row>
    <row r="7598" spans="1:1">
      <c r="A7598" s="61"/>
    </row>
    <row r="7599" spans="1:1">
      <c r="A7599" s="61"/>
    </row>
    <row r="7600" spans="1:1">
      <c r="A7600" s="61"/>
    </row>
    <row r="7601" spans="1:1">
      <c r="A7601" s="61"/>
    </row>
    <row r="7602" spans="1:1">
      <c r="A7602" s="61"/>
    </row>
    <row r="7603" spans="1:1">
      <c r="A7603" s="61"/>
    </row>
    <row r="7604" spans="1:1">
      <c r="A7604" s="61"/>
    </row>
    <row r="7605" spans="1:1">
      <c r="A7605" s="61"/>
    </row>
    <row r="7606" spans="1:1">
      <c r="A7606" s="61"/>
    </row>
    <row r="7607" spans="1:1">
      <c r="A7607" s="61"/>
    </row>
    <row r="7608" spans="1:1">
      <c r="A7608" s="61"/>
    </row>
    <row r="7609" spans="1:1">
      <c r="A7609" s="61"/>
    </row>
    <row r="7610" spans="1:1">
      <c r="A7610" s="61"/>
    </row>
    <row r="7611" spans="1:1">
      <c r="A7611" s="61"/>
    </row>
    <row r="7612" spans="1:1">
      <c r="A7612" s="61"/>
    </row>
    <row r="7613" spans="1:1">
      <c r="A7613" s="61"/>
    </row>
    <row r="7614" spans="1:1">
      <c r="A7614" s="61"/>
    </row>
    <row r="7615" spans="1:1">
      <c r="A7615" s="61"/>
    </row>
    <row r="7616" spans="1:1">
      <c r="A7616" s="61"/>
    </row>
    <row r="7617" spans="1:1">
      <c r="A7617" s="61"/>
    </row>
    <row r="7618" spans="1:1">
      <c r="A7618" s="61"/>
    </row>
    <row r="7619" spans="1:1">
      <c r="A7619" s="61"/>
    </row>
    <row r="7620" spans="1:1">
      <c r="A7620" s="61"/>
    </row>
    <row r="7621" spans="1:1">
      <c r="A7621" s="61"/>
    </row>
    <row r="7622" spans="1:1">
      <c r="A7622" s="61"/>
    </row>
    <row r="7623" spans="1:1">
      <c r="A7623" s="61"/>
    </row>
    <row r="7624" spans="1:1">
      <c r="A7624" s="61"/>
    </row>
    <row r="7625" spans="1:1">
      <c r="A7625" s="61"/>
    </row>
    <row r="7626" spans="1:1">
      <c r="A7626" s="61"/>
    </row>
    <row r="7627" spans="1:1">
      <c r="A7627" s="61"/>
    </row>
    <row r="7628" spans="1:1">
      <c r="A7628" s="61"/>
    </row>
    <row r="7629" spans="1:1">
      <c r="A7629" s="61"/>
    </row>
    <row r="7630" spans="1:1">
      <c r="A7630" s="61"/>
    </row>
    <row r="7631" spans="1:1">
      <c r="A7631" s="61"/>
    </row>
    <row r="7632" spans="1:1">
      <c r="A7632" s="61"/>
    </row>
    <row r="7633" spans="1:1">
      <c r="A7633" s="61"/>
    </row>
    <row r="7634" spans="1:1">
      <c r="A7634" s="61"/>
    </row>
    <row r="7635" spans="1:1">
      <c r="A7635" s="61"/>
    </row>
    <row r="7636" spans="1:1">
      <c r="A7636" s="61"/>
    </row>
    <row r="7637" spans="1:1">
      <c r="A7637" s="61"/>
    </row>
    <row r="7638" spans="1:1">
      <c r="A7638" s="61"/>
    </row>
    <row r="7639" spans="1:1">
      <c r="A7639" s="61"/>
    </row>
    <row r="7640" spans="1:1">
      <c r="A7640" s="61"/>
    </row>
    <row r="7641" spans="1:1">
      <c r="A7641" s="61"/>
    </row>
    <row r="7642" spans="1:1">
      <c r="A7642" s="61"/>
    </row>
    <row r="7643" spans="1:1">
      <c r="A7643" s="61"/>
    </row>
    <row r="7644" spans="1:1">
      <c r="A7644" s="61"/>
    </row>
    <row r="7645" spans="1:1">
      <c r="A7645" s="61"/>
    </row>
    <row r="7646" spans="1:1">
      <c r="A7646" s="61"/>
    </row>
    <row r="7647" spans="1:1">
      <c r="A7647" s="61"/>
    </row>
    <row r="7648" spans="1:1">
      <c r="A7648" s="61"/>
    </row>
    <row r="7649" spans="1:1">
      <c r="A7649" s="61"/>
    </row>
    <row r="7650" spans="1:1">
      <c r="A7650" s="61"/>
    </row>
    <row r="7651" spans="1:1">
      <c r="A7651" s="61"/>
    </row>
    <row r="7652" spans="1:1">
      <c r="A7652" s="61"/>
    </row>
    <row r="7653" spans="1:1">
      <c r="A7653" s="61"/>
    </row>
    <row r="7654" spans="1:1">
      <c r="A7654" s="61"/>
    </row>
    <row r="7655" spans="1:1">
      <c r="A7655" s="61"/>
    </row>
    <row r="7656" spans="1:1">
      <c r="A7656" s="61"/>
    </row>
    <row r="7657" spans="1:1">
      <c r="A7657" s="61"/>
    </row>
    <row r="7658" spans="1:1">
      <c r="A7658" s="61"/>
    </row>
    <row r="7659" spans="1:1">
      <c r="A7659" s="61"/>
    </row>
    <row r="7660" spans="1:1">
      <c r="A7660" s="61"/>
    </row>
    <row r="7661" spans="1:1">
      <c r="A7661" s="61"/>
    </row>
    <row r="7662" spans="1:1">
      <c r="A7662" s="61"/>
    </row>
    <row r="7663" spans="1:1">
      <c r="A7663" s="61"/>
    </row>
    <row r="7664" spans="1:1">
      <c r="A7664" s="61"/>
    </row>
    <row r="7665" spans="1:1">
      <c r="A7665" s="61"/>
    </row>
    <row r="7666" spans="1:1">
      <c r="A7666" s="61"/>
    </row>
    <row r="7667" spans="1:1">
      <c r="A7667" s="61"/>
    </row>
    <row r="7668" spans="1:1">
      <c r="A7668" s="61"/>
    </row>
    <row r="7669" spans="1:1">
      <c r="A7669" s="61"/>
    </row>
    <row r="7670" spans="1:1">
      <c r="A7670" s="61"/>
    </row>
    <row r="7671" spans="1:1">
      <c r="A7671" s="61"/>
    </row>
    <row r="7672" spans="1:1">
      <c r="A7672" s="61"/>
    </row>
    <row r="7673" spans="1:1">
      <c r="A7673" s="61"/>
    </row>
    <row r="7674" spans="1:1">
      <c r="A7674" s="61"/>
    </row>
    <row r="7675" spans="1:1">
      <c r="A7675" s="61"/>
    </row>
    <row r="7676" spans="1:1">
      <c r="A7676" s="61"/>
    </row>
    <row r="7677" spans="1:1">
      <c r="A7677" s="61"/>
    </row>
    <row r="7678" spans="1:1">
      <c r="A7678" s="61"/>
    </row>
    <row r="7679" spans="1:1">
      <c r="A7679" s="61"/>
    </row>
    <row r="7680" spans="1:1">
      <c r="A7680" s="61"/>
    </row>
    <row r="7681" spans="1:1">
      <c r="A7681" s="61"/>
    </row>
    <row r="7682" spans="1:1">
      <c r="A7682" s="61"/>
    </row>
    <row r="7683" spans="1:1">
      <c r="A7683" s="61"/>
    </row>
    <row r="7684" spans="1:1">
      <c r="A7684" s="61"/>
    </row>
    <row r="7685" spans="1:1">
      <c r="A7685" s="61"/>
    </row>
    <row r="7686" spans="1:1">
      <c r="A7686" s="61"/>
    </row>
    <row r="7687" spans="1:1">
      <c r="A7687" s="61"/>
    </row>
    <row r="7688" spans="1:1">
      <c r="A7688" s="61"/>
    </row>
    <row r="7689" spans="1:1">
      <c r="A7689" s="61"/>
    </row>
    <row r="7690" spans="1:1">
      <c r="A7690" s="61"/>
    </row>
    <row r="7691" spans="1:1">
      <c r="A7691" s="61"/>
    </row>
    <row r="7692" spans="1:1">
      <c r="A7692" s="61"/>
    </row>
    <row r="7693" spans="1:1">
      <c r="A7693" s="61"/>
    </row>
    <row r="7694" spans="1:1">
      <c r="A7694" s="61"/>
    </row>
    <row r="7695" spans="1:1">
      <c r="A7695" s="61"/>
    </row>
    <row r="7696" spans="1:1">
      <c r="A7696" s="61"/>
    </row>
    <row r="7697" spans="1:1">
      <c r="A7697" s="61"/>
    </row>
    <row r="7698" spans="1:1">
      <c r="A7698" s="61"/>
    </row>
    <row r="7699" spans="1:1">
      <c r="A7699" s="61"/>
    </row>
    <row r="7700" spans="1:1">
      <c r="A7700" s="61"/>
    </row>
    <row r="7701" spans="1:1">
      <c r="A7701" s="61"/>
    </row>
    <row r="7702" spans="1:1">
      <c r="A7702" s="61"/>
    </row>
    <row r="7703" spans="1:1">
      <c r="A7703" s="61"/>
    </row>
    <row r="7704" spans="1:1">
      <c r="A7704" s="61"/>
    </row>
    <row r="7705" spans="1:1">
      <c r="A7705" s="61"/>
    </row>
    <row r="7706" spans="1:1">
      <c r="A7706" s="61"/>
    </row>
    <row r="7707" spans="1:1">
      <c r="A7707" s="61"/>
    </row>
    <row r="7708" spans="1:1">
      <c r="A7708" s="61"/>
    </row>
    <row r="7709" spans="1:1">
      <c r="A7709" s="61"/>
    </row>
    <row r="7710" spans="1:1">
      <c r="A7710" s="61"/>
    </row>
    <row r="7711" spans="1:1">
      <c r="A7711" s="61"/>
    </row>
    <row r="7712" spans="1:1">
      <c r="A7712" s="61"/>
    </row>
    <row r="7713" spans="1:1">
      <c r="A7713" s="61"/>
    </row>
    <row r="7714" spans="1:1">
      <c r="A7714" s="61"/>
    </row>
    <row r="7715" spans="1:1">
      <c r="A7715" s="61"/>
    </row>
    <row r="7716" spans="1:1">
      <c r="A7716" s="61"/>
    </row>
    <row r="7717" spans="1:1">
      <c r="A7717" s="61"/>
    </row>
    <row r="7718" spans="1:1">
      <c r="A7718" s="61"/>
    </row>
    <row r="7719" spans="1:1">
      <c r="A7719" s="61"/>
    </row>
    <row r="7720" spans="1:1">
      <c r="A7720" s="61"/>
    </row>
    <row r="7721" spans="1:1">
      <c r="A7721" s="61"/>
    </row>
    <row r="7722" spans="1:1">
      <c r="A7722" s="61"/>
    </row>
    <row r="7723" spans="1:1">
      <c r="A7723" s="61"/>
    </row>
    <row r="7724" spans="1:1">
      <c r="A7724" s="61"/>
    </row>
    <row r="7725" spans="1:1">
      <c r="A7725" s="61"/>
    </row>
    <row r="7726" spans="1:1">
      <c r="A7726" s="61"/>
    </row>
    <row r="7727" spans="1:1">
      <c r="A7727" s="61"/>
    </row>
    <row r="7728" spans="1:1">
      <c r="A7728" s="61"/>
    </row>
    <row r="7729" spans="1:1">
      <c r="A7729" s="61"/>
    </row>
    <row r="7730" spans="1:1">
      <c r="A7730" s="61"/>
    </row>
    <row r="7731" spans="1:1">
      <c r="A7731" s="61"/>
    </row>
    <row r="7732" spans="1:1">
      <c r="A7732" s="61"/>
    </row>
    <row r="7733" spans="1:1">
      <c r="A7733" s="61"/>
    </row>
    <row r="7734" spans="1:1">
      <c r="A7734" s="61"/>
    </row>
    <row r="7735" spans="1:1">
      <c r="A7735" s="61"/>
    </row>
    <row r="7736" spans="1:1">
      <c r="A7736" s="61"/>
    </row>
    <row r="7737" spans="1:1">
      <c r="A7737" s="61"/>
    </row>
    <row r="7738" spans="1:1">
      <c r="A7738" s="61"/>
    </row>
    <row r="7739" spans="1:1">
      <c r="A7739" s="61"/>
    </row>
    <row r="7740" spans="1:1">
      <c r="A7740" s="61"/>
    </row>
    <row r="7741" spans="1:1">
      <c r="A7741" s="61"/>
    </row>
    <row r="7742" spans="1:1">
      <c r="A7742" s="61"/>
    </row>
    <row r="7743" spans="1:1">
      <c r="A7743" s="61"/>
    </row>
    <row r="7744" spans="1:1">
      <c r="A7744" s="61"/>
    </row>
    <row r="7745" spans="1:1">
      <c r="A7745" s="61"/>
    </row>
    <row r="7746" spans="1:1">
      <c r="A7746" s="61"/>
    </row>
    <row r="7747" spans="1:1">
      <c r="A7747" s="61"/>
    </row>
    <row r="7748" spans="1:1">
      <c r="A7748" s="61"/>
    </row>
    <row r="7749" spans="1:1">
      <c r="A7749" s="61"/>
    </row>
    <row r="7750" spans="1:1">
      <c r="A7750" s="61"/>
    </row>
    <row r="7751" spans="1:1">
      <c r="A7751" s="61"/>
    </row>
    <row r="7752" spans="1:1">
      <c r="A7752" s="61"/>
    </row>
    <row r="7753" spans="1:1">
      <c r="A7753" s="61"/>
    </row>
    <row r="7754" spans="1:1">
      <c r="A7754" s="61"/>
    </row>
    <row r="7755" spans="1:1">
      <c r="A7755" s="61"/>
    </row>
    <row r="7756" spans="1:1">
      <c r="A7756" s="61"/>
    </row>
    <row r="7757" spans="1:1">
      <c r="A7757" s="61"/>
    </row>
    <row r="7758" spans="1:1">
      <c r="A7758" s="61"/>
    </row>
    <row r="7759" spans="1:1">
      <c r="A7759" s="61"/>
    </row>
    <row r="7760" spans="1:1">
      <c r="A7760" s="61"/>
    </row>
    <row r="7761" spans="1:1">
      <c r="A7761" s="61"/>
    </row>
    <row r="7762" spans="1:1">
      <c r="A7762" s="61"/>
    </row>
    <row r="7763" spans="1:1">
      <c r="A7763" s="61"/>
    </row>
    <row r="7764" spans="1:1">
      <c r="A7764" s="61"/>
    </row>
    <row r="7765" spans="1:1">
      <c r="A7765" s="61"/>
    </row>
    <row r="7766" spans="1:1">
      <c r="A7766" s="61"/>
    </row>
    <row r="7767" spans="1:1">
      <c r="A7767" s="61"/>
    </row>
    <row r="7768" spans="1:1">
      <c r="A7768" s="61"/>
    </row>
    <row r="7769" spans="1:1">
      <c r="A7769" s="61"/>
    </row>
    <row r="7770" spans="1:1">
      <c r="A7770" s="61"/>
    </row>
    <row r="7771" spans="1:1">
      <c r="A7771" s="61"/>
    </row>
    <row r="7772" spans="1:1">
      <c r="A7772" s="61"/>
    </row>
    <row r="7773" spans="1:1">
      <c r="A7773" s="61"/>
    </row>
    <row r="7774" spans="1:1">
      <c r="A7774" s="61"/>
    </row>
    <row r="7775" spans="1:1">
      <c r="A7775" s="61"/>
    </row>
    <row r="7776" spans="1:1">
      <c r="A7776" s="61"/>
    </row>
    <row r="7777" spans="1:1">
      <c r="A7777" s="61"/>
    </row>
    <row r="7778" spans="1:1">
      <c r="A7778" s="61"/>
    </row>
    <row r="7779" spans="1:1">
      <c r="A7779" s="61"/>
    </row>
    <row r="7780" spans="1:1">
      <c r="A7780" s="61"/>
    </row>
    <row r="7781" spans="1:1">
      <c r="A7781" s="61"/>
    </row>
    <row r="7782" spans="1:1">
      <c r="A7782" s="61"/>
    </row>
    <row r="7783" spans="1:1">
      <c r="A7783" s="61"/>
    </row>
    <row r="7784" spans="1:1">
      <c r="A7784" s="61"/>
    </row>
    <row r="7785" spans="1:1">
      <c r="A7785" s="61"/>
    </row>
    <row r="7786" spans="1:1">
      <c r="A7786" s="61"/>
    </row>
    <row r="7787" spans="1:1">
      <c r="A7787" s="61"/>
    </row>
    <row r="7788" spans="1:1">
      <c r="A7788" s="61"/>
    </row>
    <row r="7789" spans="1:1">
      <c r="A7789" s="61"/>
    </row>
    <row r="7790" spans="1:1">
      <c r="A7790" s="61"/>
    </row>
    <row r="7791" spans="1:1">
      <c r="A7791" s="61"/>
    </row>
    <row r="7792" spans="1:1">
      <c r="A7792" s="61"/>
    </row>
    <row r="7793" spans="1:1">
      <c r="A7793" s="61"/>
    </row>
    <row r="7794" spans="1:1">
      <c r="A7794" s="61"/>
    </row>
    <row r="7795" spans="1:1">
      <c r="A7795" s="61"/>
    </row>
    <row r="7796" spans="1:1">
      <c r="A7796" s="61"/>
    </row>
    <row r="7797" spans="1:1">
      <c r="A7797" s="61"/>
    </row>
    <row r="7798" spans="1:1">
      <c r="A7798" s="61"/>
    </row>
    <row r="7799" spans="1:1">
      <c r="A7799" s="61"/>
    </row>
    <row r="7800" spans="1:1">
      <c r="A7800" s="61"/>
    </row>
    <row r="7801" spans="1:1">
      <c r="A7801" s="61"/>
    </row>
    <row r="7802" spans="1:1">
      <c r="A7802" s="61"/>
    </row>
    <row r="7803" spans="1:1">
      <c r="A7803" s="61"/>
    </row>
    <row r="7804" spans="1:1">
      <c r="A7804" s="61"/>
    </row>
    <row r="7805" spans="1:1">
      <c r="A7805" s="61"/>
    </row>
    <row r="7806" spans="1:1">
      <c r="A7806" s="61"/>
    </row>
    <row r="7807" spans="1:1">
      <c r="A7807" s="61"/>
    </row>
    <row r="7808" spans="1:1">
      <c r="A7808" s="61"/>
    </row>
    <row r="7809" spans="1:1">
      <c r="A7809" s="61"/>
    </row>
    <row r="7810" spans="1:1">
      <c r="A7810" s="61"/>
    </row>
    <row r="7811" spans="1:1">
      <c r="A7811" s="61"/>
    </row>
    <row r="7812" spans="1:1">
      <c r="A7812" s="61"/>
    </row>
    <row r="7813" spans="1:1">
      <c r="A7813" s="61"/>
    </row>
    <row r="7814" spans="1:1">
      <c r="A7814" s="61"/>
    </row>
    <row r="7815" spans="1:1">
      <c r="A7815" s="61"/>
    </row>
    <row r="7816" spans="1:1">
      <c r="A7816" s="61"/>
    </row>
    <row r="7817" spans="1:1">
      <c r="A7817" s="61"/>
    </row>
    <row r="7818" spans="1:1">
      <c r="A7818" s="61"/>
    </row>
    <row r="7819" spans="1:1">
      <c r="A7819" s="61"/>
    </row>
    <row r="7820" spans="1:1">
      <c r="A7820" s="61"/>
    </row>
    <row r="7821" spans="1:1">
      <c r="A7821" s="61"/>
    </row>
    <row r="7822" spans="1:1">
      <c r="A7822" s="61"/>
    </row>
    <row r="7823" spans="1:1">
      <c r="A7823" s="61"/>
    </row>
    <row r="7824" spans="1:1">
      <c r="A7824" s="61"/>
    </row>
    <row r="7825" spans="1:1">
      <c r="A7825" s="61"/>
    </row>
    <row r="7826" spans="1:1">
      <c r="A7826" s="61"/>
    </row>
    <row r="7827" spans="1:1">
      <c r="A7827" s="61"/>
    </row>
    <row r="7828" spans="1:1">
      <c r="A7828" s="61"/>
    </row>
    <row r="7829" spans="1:1">
      <c r="A7829" s="61"/>
    </row>
    <row r="7830" spans="1:1">
      <c r="A7830" s="61"/>
    </row>
    <row r="7831" spans="1:1">
      <c r="A7831" s="61"/>
    </row>
    <row r="7832" spans="1:1">
      <c r="A7832" s="61"/>
    </row>
    <row r="7833" spans="1:1">
      <c r="A7833" s="61"/>
    </row>
    <row r="7834" spans="1:1">
      <c r="A7834" s="61"/>
    </row>
    <row r="7835" spans="1:1">
      <c r="A7835" s="61"/>
    </row>
    <row r="7836" spans="1:1">
      <c r="A7836" s="61"/>
    </row>
    <row r="7837" spans="1:1">
      <c r="A7837" s="61"/>
    </row>
    <row r="7838" spans="1:1">
      <c r="A7838" s="61"/>
    </row>
    <row r="7839" spans="1:1">
      <c r="A7839" s="61"/>
    </row>
    <row r="7840" spans="1:1">
      <c r="A7840" s="61"/>
    </row>
    <row r="7841" spans="1:1">
      <c r="A7841" s="61"/>
    </row>
    <row r="7842" spans="1:1">
      <c r="A7842" s="61"/>
    </row>
    <row r="7843" spans="1:1">
      <c r="A7843" s="61"/>
    </row>
    <row r="7844" spans="1:1">
      <c r="A7844" s="61"/>
    </row>
    <row r="7845" spans="1:1">
      <c r="A7845" s="61"/>
    </row>
    <row r="7846" spans="1:1">
      <c r="A7846" s="61"/>
    </row>
    <row r="7847" spans="1:1">
      <c r="A7847" s="61"/>
    </row>
    <row r="7848" spans="1:1">
      <c r="A7848" s="61"/>
    </row>
    <row r="7849" spans="1:1">
      <c r="A7849" s="61"/>
    </row>
    <row r="7850" spans="1:1">
      <c r="A7850" s="61"/>
    </row>
    <row r="7851" spans="1:1">
      <c r="A7851" s="61"/>
    </row>
    <row r="7852" spans="1:1">
      <c r="A7852" s="61"/>
    </row>
    <row r="7853" spans="1:1">
      <c r="A7853" s="61"/>
    </row>
    <row r="7854" spans="1:1">
      <c r="A7854" s="61"/>
    </row>
    <row r="7855" spans="1:1">
      <c r="A7855" s="61"/>
    </row>
    <row r="7856" spans="1:1">
      <c r="A7856" s="61"/>
    </row>
    <row r="7857" spans="1:1">
      <c r="A7857" s="61"/>
    </row>
    <row r="7858" spans="1:1">
      <c r="A7858" s="61"/>
    </row>
    <row r="7859" spans="1:1">
      <c r="A7859" s="61"/>
    </row>
    <row r="7860" spans="1:1">
      <c r="A7860" s="61"/>
    </row>
    <row r="7861" spans="1:1">
      <c r="A7861" s="61"/>
    </row>
    <row r="7862" spans="1:1">
      <c r="A7862" s="61"/>
    </row>
    <row r="7863" spans="1:1">
      <c r="A7863" s="61"/>
    </row>
    <row r="7864" spans="1:1">
      <c r="A7864" s="61"/>
    </row>
    <row r="7865" spans="1:1">
      <c r="A7865" s="61"/>
    </row>
    <row r="7866" spans="1:1">
      <c r="A7866" s="61"/>
    </row>
    <row r="7867" spans="1:1">
      <c r="A7867" s="61"/>
    </row>
    <row r="7868" spans="1:1">
      <c r="A7868" s="61"/>
    </row>
    <row r="7869" spans="1:1">
      <c r="A7869" s="61"/>
    </row>
    <row r="7870" spans="1:1">
      <c r="A7870" s="61"/>
    </row>
    <row r="7871" spans="1:1">
      <c r="A7871" s="61"/>
    </row>
    <row r="7872" spans="1:1">
      <c r="A7872" s="61"/>
    </row>
    <row r="7873" spans="1:1">
      <c r="A7873" s="61"/>
    </row>
    <row r="7874" spans="1:1">
      <c r="A7874" s="61"/>
    </row>
    <row r="7875" spans="1:1">
      <c r="A7875" s="61"/>
    </row>
    <row r="7876" spans="1:1">
      <c r="A7876" s="61"/>
    </row>
    <row r="7877" spans="1:1">
      <c r="A7877" s="61"/>
    </row>
    <row r="7878" spans="1:1">
      <c r="A7878" s="61"/>
    </row>
    <row r="7879" spans="1:1">
      <c r="A7879" s="61"/>
    </row>
    <row r="7880" spans="1:1">
      <c r="A7880" s="61"/>
    </row>
    <row r="7881" spans="1:1">
      <c r="A7881" s="61"/>
    </row>
    <row r="7882" spans="1:1">
      <c r="A7882" s="61"/>
    </row>
    <row r="7883" spans="1:1">
      <c r="A7883" s="61"/>
    </row>
    <row r="7884" spans="1:1">
      <c r="A7884" s="61"/>
    </row>
    <row r="7885" spans="1:1">
      <c r="A7885" s="61"/>
    </row>
    <row r="7886" spans="1:1">
      <c r="A7886" s="61"/>
    </row>
    <row r="7887" spans="1:1">
      <c r="A7887" s="61"/>
    </row>
    <row r="7888" spans="1:1">
      <c r="A7888" s="61"/>
    </row>
    <row r="7889" spans="1:1">
      <c r="A7889" s="61"/>
    </row>
    <row r="7890" spans="1:1">
      <c r="A7890" s="61"/>
    </row>
    <row r="7891" spans="1:1">
      <c r="A7891" s="61"/>
    </row>
    <row r="7892" spans="1:1">
      <c r="A7892" s="61"/>
    </row>
    <row r="7893" spans="1:1">
      <c r="A7893" s="61"/>
    </row>
    <row r="7894" spans="1:1">
      <c r="A7894" s="61"/>
    </row>
    <row r="7895" spans="1:1">
      <c r="A7895" s="61"/>
    </row>
    <row r="7896" spans="1:1">
      <c r="A7896" s="61"/>
    </row>
    <row r="7897" spans="1:1">
      <c r="A7897" s="61"/>
    </row>
    <row r="7898" spans="1:1">
      <c r="A7898" s="61"/>
    </row>
    <row r="7899" spans="1:1">
      <c r="A7899" s="61"/>
    </row>
    <row r="7900" spans="1:1">
      <c r="A7900" s="61"/>
    </row>
    <row r="7901" spans="1:1">
      <c r="A7901" s="61"/>
    </row>
    <row r="7902" spans="1:1">
      <c r="A7902" s="61"/>
    </row>
    <row r="7903" spans="1:1">
      <c r="A7903" s="61"/>
    </row>
    <row r="7904" spans="1:1">
      <c r="A7904" s="61"/>
    </row>
    <row r="7905" spans="1:1">
      <c r="A7905" s="61"/>
    </row>
    <row r="7906" spans="1:1">
      <c r="A7906" s="61"/>
    </row>
    <row r="7907" spans="1:1">
      <c r="A7907" s="61"/>
    </row>
    <row r="7908" spans="1:1">
      <c r="A7908" s="61"/>
    </row>
    <row r="7909" spans="1:1">
      <c r="A7909" s="61"/>
    </row>
    <row r="7910" spans="1:1">
      <c r="A7910" s="61"/>
    </row>
    <row r="7911" spans="1:1">
      <c r="A7911" s="61"/>
    </row>
    <row r="7912" spans="1:1">
      <c r="A7912" s="61"/>
    </row>
    <row r="7913" spans="1:1">
      <c r="A7913" s="61"/>
    </row>
    <row r="7914" spans="1:1">
      <c r="A7914" s="61"/>
    </row>
    <row r="7915" spans="1:1">
      <c r="A7915" s="61"/>
    </row>
    <row r="7916" spans="1:1">
      <c r="A7916" s="61"/>
    </row>
    <row r="7917" spans="1:1">
      <c r="A7917" s="61"/>
    </row>
    <row r="7918" spans="1:1">
      <c r="A7918" s="61"/>
    </row>
    <row r="7919" spans="1:1">
      <c r="A7919" s="61"/>
    </row>
    <row r="7920" spans="1:1">
      <c r="A7920" s="61"/>
    </row>
    <row r="7921" spans="1:1">
      <c r="A7921" s="61"/>
    </row>
    <row r="7922" spans="1:1">
      <c r="A7922" s="61"/>
    </row>
    <row r="7923" spans="1:1">
      <c r="A7923" s="61"/>
    </row>
    <row r="7924" spans="1:1">
      <c r="A7924" s="61"/>
    </row>
    <row r="7925" spans="1:1">
      <c r="A7925" s="61"/>
    </row>
    <row r="7926" spans="1:1">
      <c r="A7926" s="61"/>
    </row>
    <row r="7927" spans="1:1">
      <c r="A7927" s="61"/>
    </row>
    <row r="7928" spans="1:1">
      <c r="A7928" s="61"/>
    </row>
    <row r="7929" spans="1:1">
      <c r="A7929" s="61"/>
    </row>
    <row r="7930" spans="1:1">
      <c r="A7930" s="61"/>
    </row>
    <row r="7931" spans="1:1">
      <c r="A7931" s="61"/>
    </row>
    <row r="7932" spans="1:1">
      <c r="A7932" s="61"/>
    </row>
    <row r="7933" spans="1:1">
      <c r="A7933" s="61"/>
    </row>
    <row r="7934" spans="1:1">
      <c r="A7934" s="61"/>
    </row>
    <row r="7935" spans="1:1">
      <c r="A7935" s="61"/>
    </row>
    <row r="7936" spans="1:1">
      <c r="A7936" s="61"/>
    </row>
    <row r="7937" spans="1:1">
      <c r="A7937" s="61"/>
    </row>
    <row r="7938" spans="1:1">
      <c r="A7938" s="61"/>
    </row>
    <row r="7939" spans="1:1">
      <c r="A7939" s="61"/>
    </row>
    <row r="7940" spans="1:1">
      <c r="A7940" s="61"/>
    </row>
    <row r="7941" spans="1:1">
      <c r="A7941" s="61"/>
    </row>
    <row r="7942" spans="1:1">
      <c r="A7942" s="61"/>
    </row>
    <row r="7943" spans="1:1">
      <c r="A7943" s="61"/>
    </row>
    <row r="7944" spans="1:1">
      <c r="A7944" s="61"/>
    </row>
    <row r="7945" spans="1:1">
      <c r="A7945" s="61"/>
    </row>
    <row r="7946" spans="1:1">
      <c r="A7946" s="61"/>
    </row>
    <row r="7947" spans="1:1">
      <c r="A7947" s="61"/>
    </row>
    <row r="7948" spans="1:1">
      <c r="A7948" s="61"/>
    </row>
    <row r="7949" spans="1:1">
      <c r="A7949" s="61"/>
    </row>
    <row r="7950" spans="1:1">
      <c r="A7950" s="61"/>
    </row>
    <row r="7951" spans="1:1">
      <c r="A7951" s="61"/>
    </row>
    <row r="7952" spans="1:1">
      <c r="A7952" s="61"/>
    </row>
    <row r="7953" spans="1:1">
      <c r="A7953" s="61"/>
    </row>
    <row r="7954" spans="1:1">
      <c r="A7954" s="61"/>
    </row>
    <row r="7955" spans="1:1">
      <c r="A7955" s="61"/>
    </row>
    <row r="7956" spans="1:1">
      <c r="A7956" s="61"/>
    </row>
    <row r="7957" spans="1:1">
      <c r="A7957" s="61"/>
    </row>
    <row r="7958" spans="1:1">
      <c r="A7958" s="61"/>
    </row>
    <row r="7959" spans="1:1">
      <c r="A7959" s="61"/>
    </row>
    <row r="7960" spans="1:1">
      <c r="A7960" s="61"/>
    </row>
    <row r="7961" spans="1:1">
      <c r="A7961" s="61"/>
    </row>
    <row r="7962" spans="1:1">
      <c r="A7962" s="61"/>
    </row>
    <row r="7963" spans="1:1">
      <c r="A7963" s="61"/>
    </row>
    <row r="7964" spans="1:1">
      <c r="A7964" s="61"/>
    </row>
    <row r="7965" spans="1:1">
      <c r="A7965" s="61"/>
    </row>
    <row r="7966" spans="1:1">
      <c r="A7966" s="61"/>
    </row>
    <row r="7967" spans="1:1">
      <c r="A7967" s="61"/>
    </row>
    <row r="7968" spans="1:1">
      <c r="A7968" s="61"/>
    </row>
    <row r="7969" spans="1:1">
      <c r="A7969" s="61"/>
    </row>
    <row r="7970" spans="1:1">
      <c r="A7970" s="61"/>
    </row>
    <row r="7971" spans="1:1">
      <c r="A7971" s="61"/>
    </row>
    <row r="7972" spans="1:1">
      <c r="A7972" s="61"/>
    </row>
    <row r="7973" spans="1:1">
      <c r="A7973" s="61"/>
    </row>
    <row r="7974" spans="1:1">
      <c r="A7974" s="61"/>
    </row>
    <row r="7975" spans="1:1">
      <c r="A7975" s="61"/>
    </row>
    <row r="7976" spans="1:1">
      <c r="A7976" s="61"/>
    </row>
    <row r="7977" spans="1:1">
      <c r="A7977" s="61"/>
    </row>
    <row r="7978" spans="1:1">
      <c r="A7978" s="61"/>
    </row>
    <row r="7979" spans="1:1">
      <c r="A7979" s="61"/>
    </row>
    <row r="7980" spans="1:1">
      <c r="A7980" s="61"/>
    </row>
    <row r="7981" spans="1:1">
      <c r="A7981" s="61"/>
    </row>
    <row r="7982" spans="1:1">
      <c r="A7982" s="61"/>
    </row>
    <row r="7983" spans="1:1">
      <c r="A7983" s="61"/>
    </row>
    <row r="7984" spans="1:1">
      <c r="A7984" s="61"/>
    </row>
    <row r="7985" spans="1:1">
      <c r="A7985" s="61"/>
    </row>
    <row r="7986" spans="1:1">
      <c r="A7986" s="61"/>
    </row>
    <row r="7987" spans="1:1">
      <c r="A7987" s="61"/>
    </row>
    <row r="7988" spans="1:1">
      <c r="A7988" s="61"/>
    </row>
    <row r="7989" spans="1:1">
      <c r="A7989" s="61"/>
    </row>
    <row r="7990" spans="1:1">
      <c r="A7990" s="61"/>
    </row>
    <row r="7991" spans="1:1">
      <c r="A7991" s="61"/>
    </row>
    <row r="7992" spans="1:1">
      <c r="A7992" s="61"/>
    </row>
    <row r="7993" spans="1:1">
      <c r="A7993" s="61"/>
    </row>
    <row r="7994" spans="1:1">
      <c r="A7994" s="61"/>
    </row>
    <row r="7995" spans="1:1">
      <c r="A7995" s="61"/>
    </row>
    <row r="7996" spans="1:1">
      <c r="A7996" s="61"/>
    </row>
    <row r="7997" spans="1:1">
      <c r="A7997" s="61"/>
    </row>
    <row r="7998" spans="1:1">
      <c r="A7998" s="61"/>
    </row>
    <row r="7999" spans="1:1">
      <c r="A7999" s="61"/>
    </row>
    <row r="8000" spans="1:1">
      <c r="A8000" s="61"/>
    </row>
    <row r="8001" spans="1:1">
      <c r="A8001" s="61"/>
    </row>
    <row r="8002" spans="1:1">
      <c r="A8002" s="61"/>
    </row>
    <row r="8003" spans="1:1">
      <c r="A8003" s="61"/>
    </row>
    <row r="8004" spans="1:1">
      <c r="A8004" s="61"/>
    </row>
    <row r="8005" spans="1:1">
      <c r="A8005" s="61"/>
    </row>
    <row r="8006" spans="1:1">
      <c r="A8006" s="61"/>
    </row>
    <row r="8007" spans="1:1">
      <c r="A8007" s="61"/>
    </row>
    <row r="8008" spans="1:1">
      <c r="A8008" s="61"/>
    </row>
    <row r="8009" spans="1:1">
      <c r="A8009" s="61"/>
    </row>
    <row r="8010" spans="1:1">
      <c r="A8010" s="61"/>
    </row>
    <row r="8011" spans="1:1">
      <c r="A8011" s="61"/>
    </row>
    <row r="8012" spans="1:1">
      <c r="A8012" s="61"/>
    </row>
    <row r="8013" spans="1:1">
      <c r="A8013" s="61"/>
    </row>
    <row r="8014" spans="1:1">
      <c r="A8014" s="61"/>
    </row>
    <row r="8015" spans="1:1">
      <c r="A8015" s="61"/>
    </row>
    <row r="8016" spans="1:1">
      <c r="A8016" s="61"/>
    </row>
    <row r="8017" spans="1:1">
      <c r="A8017" s="61"/>
    </row>
    <row r="8018" spans="1:1">
      <c r="A8018" s="61"/>
    </row>
    <row r="8019" spans="1:1">
      <c r="A8019" s="61"/>
    </row>
    <row r="8020" spans="1:1">
      <c r="A8020" s="61"/>
    </row>
    <row r="8021" spans="1:1">
      <c r="A8021" s="61"/>
    </row>
    <row r="8022" spans="1:1">
      <c r="A8022" s="61"/>
    </row>
    <row r="8023" spans="1:1">
      <c r="A8023" s="61"/>
    </row>
    <row r="8024" spans="1:1">
      <c r="A8024" s="61"/>
    </row>
    <row r="8025" spans="1:1">
      <c r="A8025" s="61"/>
    </row>
    <row r="8026" spans="1:1">
      <c r="A8026" s="61"/>
    </row>
    <row r="8027" spans="1:1">
      <c r="A8027" s="61"/>
    </row>
    <row r="8028" spans="1:1">
      <c r="A8028" s="61"/>
    </row>
    <row r="8029" spans="1:1">
      <c r="A8029" s="61"/>
    </row>
    <row r="8030" spans="1:1">
      <c r="A8030" s="61"/>
    </row>
    <row r="8031" spans="1:1">
      <c r="A8031" s="61"/>
    </row>
    <row r="8032" spans="1:1">
      <c r="A8032" s="61"/>
    </row>
    <row r="8033" spans="1:1">
      <c r="A8033" s="61"/>
    </row>
    <row r="8034" spans="1:1">
      <c r="A8034" s="61"/>
    </row>
    <row r="8035" spans="1:1">
      <c r="A8035" s="61"/>
    </row>
    <row r="8036" spans="1:1">
      <c r="A8036" s="61"/>
    </row>
    <row r="8037" spans="1:1">
      <c r="A8037" s="61"/>
    </row>
    <row r="8038" spans="1:1">
      <c r="A8038" s="61"/>
    </row>
    <row r="8039" spans="1:1">
      <c r="A8039" s="61"/>
    </row>
    <row r="8040" spans="1:1">
      <c r="A8040" s="61"/>
    </row>
    <row r="8041" spans="1:1">
      <c r="A8041" s="61"/>
    </row>
    <row r="8042" spans="1:1">
      <c r="A8042" s="61"/>
    </row>
    <row r="8043" spans="1:1">
      <c r="A8043" s="61"/>
    </row>
    <row r="8044" spans="1:1">
      <c r="A8044" s="61"/>
    </row>
    <row r="8045" spans="1:1">
      <c r="A8045" s="61"/>
    </row>
    <row r="8046" spans="1:1">
      <c r="A8046" s="61"/>
    </row>
    <row r="8047" spans="1:1">
      <c r="A8047" s="61"/>
    </row>
    <row r="8048" spans="1:1">
      <c r="A8048" s="61"/>
    </row>
    <row r="8049" spans="1:1">
      <c r="A8049" s="61"/>
    </row>
    <row r="8050" spans="1:1">
      <c r="A8050" s="61"/>
    </row>
    <row r="8051" spans="1:1">
      <c r="A8051" s="61"/>
    </row>
    <row r="8052" spans="1:1">
      <c r="A8052" s="61"/>
    </row>
    <row r="8053" spans="1:1">
      <c r="A8053" s="61"/>
    </row>
    <row r="8054" spans="1:1">
      <c r="A8054" s="61"/>
    </row>
    <row r="8055" spans="1:1">
      <c r="A8055" s="61"/>
    </row>
    <row r="8056" spans="1:1">
      <c r="A8056" s="61"/>
    </row>
    <row r="8057" spans="1:1">
      <c r="A8057" s="61"/>
    </row>
    <row r="8058" spans="1:1">
      <c r="A8058" s="61"/>
    </row>
    <row r="8059" spans="1:1">
      <c r="A8059" s="61"/>
    </row>
    <row r="8060" spans="1:1">
      <c r="A8060" s="61"/>
    </row>
    <row r="8061" spans="1:1">
      <c r="A8061" s="61"/>
    </row>
    <row r="8062" spans="1:1">
      <c r="A8062" s="61"/>
    </row>
    <row r="8063" spans="1:1">
      <c r="A8063" s="61"/>
    </row>
    <row r="8064" spans="1:1">
      <c r="A8064" s="61"/>
    </row>
    <row r="8065" spans="1:1">
      <c r="A8065" s="61"/>
    </row>
    <row r="8066" spans="1:1">
      <c r="A8066" s="61"/>
    </row>
    <row r="8067" spans="1:1">
      <c r="A8067" s="61"/>
    </row>
    <row r="8068" spans="1:1">
      <c r="A8068" s="61"/>
    </row>
    <row r="8069" spans="1:1">
      <c r="A8069" s="61"/>
    </row>
    <row r="8070" spans="1:1">
      <c r="A8070" s="61"/>
    </row>
    <row r="8071" spans="1:1">
      <c r="A8071" s="61"/>
    </row>
    <row r="8072" spans="1:1">
      <c r="A8072" s="61"/>
    </row>
    <row r="8073" spans="1:1">
      <c r="A8073" s="61"/>
    </row>
    <row r="8074" spans="1:1">
      <c r="A8074" s="61"/>
    </row>
    <row r="8075" spans="1:1">
      <c r="A8075" s="61"/>
    </row>
    <row r="8076" spans="1:1">
      <c r="A8076" s="61"/>
    </row>
    <row r="8077" spans="1:1">
      <c r="A8077" s="61"/>
    </row>
    <row r="8078" spans="1:1">
      <c r="A8078" s="61"/>
    </row>
    <row r="8079" spans="1:1">
      <c r="A8079" s="61"/>
    </row>
    <row r="10608" ht="14.25" customHeight="1"/>
    <row r="10628" spans="1:8" s="61" customFormat="1" hidden="1">
      <c r="A10628" s="1"/>
      <c r="B10628" s="1"/>
      <c r="C10628" s="1"/>
      <c r="D10628" s="1"/>
      <c r="E10628" s="62"/>
      <c r="F10628" s="6"/>
      <c r="G10628" s="65"/>
      <c r="H10628" s="65"/>
    </row>
    <row r="10629" spans="1:8" s="61" customFormat="1" hidden="1">
      <c r="A10629" s="1"/>
      <c r="B10629" s="1"/>
      <c r="C10629" s="1"/>
      <c r="D10629" s="1"/>
      <c r="E10629" s="62"/>
      <c r="F10629" s="6"/>
      <c r="G10629" s="65"/>
      <c r="H10629" s="65"/>
    </row>
    <row r="10630" spans="1:8" s="61" customFormat="1" hidden="1">
      <c r="A10630" s="1"/>
      <c r="B10630" s="1"/>
      <c r="C10630" s="1"/>
      <c r="D10630" s="1"/>
      <c r="E10630" s="62"/>
      <c r="F10630" s="6"/>
      <c r="G10630" s="65"/>
      <c r="H10630" s="65"/>
    </row>
    <row r="10631" spans="1:8" s="61" customFormat="1" hidden="1">
      <c r="A10631" s="1"/>
      <c r="B10631" s="1"/>
      <c r="C10631" s="1"/>
      <c r="D10631" s="1"/>
      <c r="E10631" s="62"/>
      <c r="F10631" s="6"/>
      <c r="G10631" s="65"/>
      <c r="H10631" s="65"/>
    </row>
    <row r="10632" spans="1:8" s="61" customFormat="1" hidden="1">
      <c r="A10632" s="1"/>
      <c r="B10632" s="1"/>
      <c r="C10632" s="1"/>
      <c r="D10632" s="1"/>
      <c r="E10632" s="62"/>
      <c r="F10632" s="6"/>
      <c r="G10632" s="65"/>
      <c r="H10632" s="65"/>
    </row>
    <row r="10633" spans="1:8" s="61" customFormat="1" hidden="1">
      <c r="A10633" s="1"/>
      <c r="B10633" s="1"/>
      <c r="C10633" s="1"/>
      <c r="D10633" s="1"/>
      <c r="E10633" s="62"/>
      <c r="F10633" s="6"/>
      <c r="G10633" s="65"/>
      <c r="H10633" s="65"/>
    </row>
    <row r="10634" spans="1:8" s="61" customFormat="1" hidden="1">
      <c r="A10634" s="1"/>
      <c r="B10634" s="1"/>
      <c r="C10634" s="1"/>
      <c r="D10634" s="1"/>
      <c r="E10634" s="62"/>
      <c r="F10634" s="6"/>
      <c r="G10634" s="65"/>
      <c r="H10634" s="65"/>
    </row>
    <row r="10635" spans="1:8" s="61" customFormat="1" hidden="1">
      <c r="A10635" s="1"/>
      <c r="B10635" s="1"/>
      <c r="C10635" s="1"/>
      <c r="D10635" s="1"/>
      <c r="E10635" s="62"/>
      <c r="F10635" s="6"/>
      <c r="G10635" s="65"/>
      <c r="H10635" s="65"/>
    </row>
    <row r="10636" spans="1:8" s="61" customFormat="1" hidden="1">
      <c r="A10636" s="1"/>
      <c r="B10636" s="1"/>
      <c r="C10636" s="1"/>
      <c r="D10636" s="1"/>
      <c r="E10636" s="62"/>
      <c r="F10636" s="6"/>
      <c r="G10636" s="65"/>
      <c r="H10636" s="65"/>
    </row>
    <row r="10637" spans="1:8" s="61" customFormat="1" hidden="1">
      <c r="A10637" s="1"/>
      <c r="B10637" s="1"/>
      <c r="C10637" s="1"/>
      <c r="D10637" s="1"/>
      <c r="E10637" s="62"/>
      <c r="F10637" s="6"/>
      <c r="G10637" s="65"/>
      <c r="H10637" s="65"/>
    </row>
    <row r="10638" spans="1:8" s="61" customFormat="1" hidden="1">
      <c r="A10638" s="1"/>
      <c r="B10638" s="1"/>
      <c r="C10638" s="1"/>
      <c r="D10638" s="1"/>
      <c r="E10638" s="62"/>
      <c r="F10638" s="6"/>
      <c r="G10638" s="65"/>
      <c r="H10638" s="65"/>
    </row>
    <row r="10639" spans="1:8" s="61" customFormat="1" hidden="1">
      <c r="A10639" s="1"/>
      <c r="B10639" s="1"/>
      <c r="C10639" s="1"/>
      <c r="D10639" s="1"/>
      <c r="E10639" s="62"/>
      <c r="F10639" s="6"/>
      <c r="G10639" s="65"/>
      <c r="H10639" s="65"/>
    </row>
    <row r="10640" spans="1:8" s="61" customFormat="1" hidden="1">
      <c r="A10640" s="1"/>
      <c r="B10640" s="1"/>
      <c r="C10640" s="1"/>
      <c r="D10640" s="1"/>
      <c r="E10640" s="62"/>
      <c r="F10640" s="6"/>
      <c r="G10640" s="65"/>
      <c r="H10640" s="65"/>
    </row>
    <row r="10641" spans="1:8" s="61" customFormat="1" hidden="1">
      <c r="A10641" s="1"/>
      <c r="B10641" s="1"/>
      <c r="C10641" s="1"/>
      <c r="D10641" s="1"/>
      <c r="E10641" s="62"/>
      <c r="F10641" s="6"/>
      <c r="G10641" s="65"/>
      <c r="H10641" s="65"/>
    </row>
    <row r="10642" spans="1:8" s="61" customFormat="1" hidden="1">
      <c r="A10642" s="1"/>
      <c r="B10642" s="1"/>
      <c r="C10642" s="1"/>
      <c r="D10642" s="1"/>
      <c r="E10642" s="62"/>
      <c r="F10642" s="6"/>
      <c r="G10642" s="65"/>
      <c r="H10642" s="65"/>
    </row>
    <row r="10643" spans="1:8" s="61" customFormat="1" hidden="1">
      <c r="A10643" s="1"/>
      <c r="B10643" s="1"/>
      <c r="C10643" s="1"/>
      <c r="D10643" s="1"/>
      <c r="E10643" s="62"/>
      <c r="F10643" s="6"/>
      <c r="G10643" s="65"/>
      <c r="H10643" s="65"/>
    </row>
    <row r="10644" spans="1:8" s="61" customFormat="1" hidden="1">
      <c r="A10644" s="1"/>
      <c r="B10644" s="1"/>
      <c r="C10644" s="1"/>
      <c r="D10644" s="1"/>
      <c r="E10644" s="62"/>
      <c r="F10644" s="6"/>
      <c r="G10644" s="65"/>
      <c r="H10644" s="65"/>
    </row>
    <row r="10645" spans="1:8" s="61" customFormat="1" hidden="1">
      <c r="A10645" s="1"/>
      <c r="B10645" s="1"/>
      <c r="C10645" s="1"/>
      <c r="D10645" s="1"/>
      <c r="E10645" s="62"/>
      <c r="F10645" s="6"/>
      <c r="G10645" s="65"/>
      <c r="H10645" s="65"/>
    </row>
    <row r="10646" spans="1:8" s="61" customFormat="1" hidden="1">
      <c r="A10646" s="1"/>
      <c r="B10646" s="1"/>
      <c r="C10646" s="1"/>
      <c r="D10646" s="1"/>
      <c r="E10646" s="62"/>
      <c r="F10646" s="6"/>
      <c r="G10646" s="65"/>
      <c r="H10646" s="65"/>
    </row>
    <row r="10647" spans="1:8" s="61" customFormat="1" hidden="1">
      <c r="A10647" s="1"/>
      <c r="B10647" s="1"/>
      <c r="C10647" s="1"/>
      <c r="D10647" s="1"/>
      <c r="E10647" s="62"/>
      <c r="F10647" s="6"/>
      <c r="G10647" s="65"/>
      <c r="H10647" s="65"/>
    </row>
    <row r="10648" spans="1:8" s="61" customFormat="1" hidden="1">
      <c r="A10648" s="1"/>
      <c r="B10648" s="1"/>
      <c r="C10648" s="1"/>
      <c r="D10648" s="1"/>
      <c r="E10648" s="62"/>
      <c r="F10648" s="6"/>
      <c r="G10648" s="65"/>
      <c r="H10648" s="65"/>
    </row>
    <row r="10649" spans="1:8" s="61" customFormat="1" hidden="1">
      <c r="A10649" s="1"/>
      <c r="B10649" s="1"/>
      <c r="C10649" s="1"/>
      <c r="D10649" s="1"/>
      <c r="E10649" s="62"/>
      <c r="F10649" s="6"/>
      <c r="G10649" s="65"/>
      <c r="H10649" s="65"/>
    </row>
    <row r="10650" spans="1:8" s="61" customFormat="1" hidden="1">
      <c r="A10650" s="1"/>
      <c r="B10650" s="1"/>
      <c r="C10650" s="1"/>
      <c r="D10650" s="1"/>
      <c r="E10650" s="62"/>
      <c r="F10650" s="6"/>
      <c r="G10650" s="65"/>
      <c r="H10650" s="65"/>
    </row>
    <row r="10651" spans="1:8" s="61" customFormat="1" hidden="1">
      <c r="A10651" s="1"/>
      <c r="B10651" s="1"/>
      <c r="C10651" s="1"/>
      <c r="D10651" s="1"/>
      <c r="E10651" s="62"/>
      <c r="F10651" s="6"/>
      <c r="G10651" s="65"/>
      <c r="H10651" s="65"/>
    </row>
    <row r="10652" spans="1:8" s="61" customFormat="1" hidden="1">
      <c r="A10652" s="1"/>
      <c r="B10652" s="1"/>
      <c r="C10652" s="1"/>
      <c r="D10652" s="1"/>
      <c r="E10652" s="62"/>
      <c r="F10652" s="6"/>
      <c r="G10652" s="65"/>
      <c r="H10652" s="65"/>
    </row>
    <row r="10653" spans="1:8" s="61" customFormat="1" hidden="1">
      <c r="A10653" s="1"/>
      <c r="B10653" s="1"/>
      <c r="C10653" s="1"/>
      <c r="D10653" s="1"/>
      <c r="E10653" s="62"/>
      <c r="F10653" s="6"/>
      <c r="G10653" s="65"/>
      <c r="H10653" s="65"/>
    </row>
    <row r="10654" spans="1:8" s="61" customFormat="1" hidden="1">
      <c r="A10654" s="1"/>
      <c r="B10654" s="1"/>
      <c r="C10654" s="1"/>
      <c r="D10654" s="1"/>
      <c r="E10654" s="62"/>
      <c r="F10654" s="6"/>
      <c r="G10654" s="65"/>
      <c r="H10654" s="65"/>
    </row>
    <row r="10655" spans="1:8" s="61" customFormat="1" hidden="1">
      <c r="A10655" s="1"/>
      <c r="B10655" s="1"/>
      <c r="C10655" s="1"/>
      <c r="D10655" s="1"/>
      <c r="E10655" s="62"/>
      <c r="F10655" s="6"/>
      <c r="G10655" s="65"/>
      <c r="H10655" s="65"/>
    </row>
    <row r="10656" spans="1:8" s="61" customFormat="1" hidden="1">
      <c r="A10656" s="1"/>
      <c r="B10656" s="1"/>
      <c r="C10656" s="1"/>
      <c r="D10656" s="1"/>
      <c r="E10656" s="62"/>
      <c r="F10656" s="6"/>
      <c r="G10656" s="65"/>
      <c r="H10656" s="65"/>
    </row>
    <row r="10657" spans="1:8" s="61" customFormat="1" hidden="1">
      <c r="A10657" s="1"/>
      <c r="B10657" s="1"/>
      <c r="C10657" s="1"/>
      <c r="D10657" s="1"/>
      <c r="E10657" s="62"/>
      <c r="F10657" s="6"/>
      <c r="G10657" s="65"/>
      <c r="H10657" s="65"/>
    </row>
    <row r="10658" spans="1:8" s="61" customFormat="1" hidden="1">
      <c r="A10658" s="1"/>
      <c r="B10658" s="1"/>
      <c r="C10658" s="1"/>
      <c r="D10658" s="1"/>
      <c r="E10658" s="62"/>
      <c r="F10658" s="6"/>
      <c r="G10658" s="65"/>
      <c r="H10658" s="65"/>
    </row>
    <row r="10659" spans="1:8" s="61" customFormat="1" hidden="1">
      <c r="A10659" s="1"/>
      <c r="B10659" s="1"/>
      <c r="C10659" s="1"/>
      <c r="D10659" s="1"/>
      <c r="E10659" s="62"/>
      <c r="F10659" s="6"/>
      <c r="G10659" s="65"/>
      <c r="H10659" s="65"/>
    </row>
    <row r="10660" spans="1:8" s="61" customFormat="1" hidden="1">
      <c r="A10660" s="1"/>
      <c r="B10660" s="1"/>
      <c r="C10660" s="1"/>
      <c r="D10660" s="1"/>
      <c r="E10660" s="62"/>
      <c r="F10660" s="6"/>
      <c r="G10660" s="65"/>
      <c r="H10660" s="65"/>
    </row>
    <row r="10661" spans="1:8" s="61" customFormat="1" hidden="1">
      <c r="A10661" s="1"/>
      <c r="B10661" s="1"/>
      <c r="C10661" s="1"/>
      <c r="D10661" s="1"/>
      <c r="E10661" s="62"/>
      <c r="F10661" s="6"/>
      <c r="G10661" s="65"/>
      <c r="H10661" s="65"/>
    </row>
    <row r="10662" spans="1:8" s="61" customFormat="1" hidden="1">
      <c r="A10662" s="1"/>
      <c r="B10662" s="1"/>
      <c r="C10662" s="1"/>
      <c r="D10662" s="1"/>
      <c r="E10662" s="62"/>
      <c r="F10662" s="6"/>
      <c r="G10662" s="65"/>
      <c r="H10662" s="65"/>
    </row>
    <row r="10663" spans="1:8" s="61" customFormat="1" hidden="1">
      <c r="A10663" s="1"/>
      <c r="B10663" s="1"/>
      <c r="C10663" s="1"/>
      <c r="D10663" s="1"/>
      <c r="E10663" s="62"/>
      <c r="F10663" s="6"/>
      <c r="G10663" s="65"/>
      <c r="H10663" s="65"/>
    </row>
    <row r="10664" spans="1:8" s="61" customFormat="1" hidden="1">
      <c r="A10664" s="1"/>
      <c r="B10664" s="1"/>
      <c r="C10664" s="1"/>
      <c r="D10664" s="1"/>
      <c r="E10664" s="62"/>
      <c r="F10664" s="6"/>
      <c r="G10664" s="65"/>
      <c r="H10664" s="65"/>
    </row>
    <row r="10665" spans="1:8" s="61" customFormat="1" hidden="1">
      <c r="A10665" s="1"/>
      <c r="B10665" s="1"/>
      <c r="C10665" s="1"/>
      <c r="D10665" s="1"/>
      <c r="E10665" s="62"/>
      <c r="F10665" s="6"/>
      <c r="G10665" s="65"/>
      <c r="H10665" s="65"/>
    </row>
    <row r="10666" spans="1:8" s="61" customFormat="1" hidden="1">
      <c r="A10666" s="1"/>
      <c r="B10666" s="1"/>
      <c r="C10666" s="1"/>
      <c r="D10666" s="1"/>
      <c r="E10666" s="62"/>
      <c r="F10666" s="6"/>
      <c r="G10666" s="65"/>
      <c r="H10666" s="65"/>
    </row>
    <row r="10667" spans="1:8" s="61" customFormat="1" hidden="1">
      <c r="A10667" s="1"/>
      <c r="B10667" s="1"/>
      <c r="C10667" s="1"/>
      <c r="D10667" s="1"/>
      <c r="E10667" s="62"/>
      <c r="F10667" s="6"/>
      <c r="G10667" s="65"/>
      <c r="H10667" s="65"/>
    </row>
    <row r="10668" spans="1:8" s="61" customFormat="1" hidden="1">
      <c r="A10668" s="1"/>
      <c r="B10668" s="1"/>
      <c r="C10668" s="1"/>
      <c r="D10668" s="1"/>
      <c r="E10668" s="62"/>
      <c r="F10668" s="6"/>
      <c r="G10668" s="65"/>
      <c r="H10668" s="65"/>
    </row>
    <row r="10669" spans="1:8" s="61" customFormat="1" hidden="1">
      <c r="A10669" s="1"/>
      <c r="B10669" s="1"/>
      <c r="C10669" s="1"/>
      <c r="D10669" s="1"/>
      <c r="E10669" s="62"/>
      <c r="F10669" s="6"/>
      <c r="G10669" s="65"/>
      <c r="H10669" s="65"/>
    </row>
    <row r="10670" spans="1:8" s="61" customFormat="1" hidden="1">
      <c r="A10670" s="1"/>
      <c r="B10670" s="1"/>
      <c r="C10670" s="1"/>
      <c r="D10670" s="1"/>
      <c r="E10670" s="62"/>
      <c r="F10670" s="6"/>
      <c r="G10670" s="65"/>
      <c r="H10670" s="65"/>
    </row>
    <row r="10671" spans="1:8" s="61" customFormat="1" hidden="1">
      <c r="A10671" s="1"/>
      <c r="B10671" s="1"/>
      <c r="C10671" s="1"/>
      <c r="D10671" s="1"/>
      <c r="E10671" s="62"/>
      <c r="F10671" s="6"/>
      <c r="G10671" s="65"/>
      <c r="H10671" s="65"/>
    </row>
    <row r="10672" spans="1:8" s="61" customFormat="1" hidden="1">
      <c r="A10672" s="1"/>
      <c r="B10672" s="1"/>
      <c r="C10672" s="1"/>
      <c r="D10672" s="1"/>
      <c r="E10672" s="62"/>
      <c r="F10672" s="6"/>
      <c r="G10672" s="65"/>
      <c r="H10672" s="65"/>
    </row>
    <row r="10673" spans="1:8" s="61" customFormat="1" hidden="1">
      <c r="A10673" s="1"/>
      <c r="B10673" s="1"/>
      <c r="C10673" s="1"/>
      <c r="D10673" s="1"/>
      <c r="E10673" s="62"/>
      <c r="F10673" s="6"/>
      <c r="G10673" s="65"/>
      <c r="H10673" s="65"/>
    </row>
    <row r="10674" spans="1:8" s="61" customFormat="1" hidden="1">
      <c r="A10674" s="1"/>
      <c r="B10674" s="1"/>
      <c r="C10674" s="1"/>
      <c r="D10674" s="1"/>
      <c r="E10674" s="62"/>
      <c r="F10674" s="6"/>
      <c r="G10674" s="65"/>
      <c r="H10674" s="65"/>
    </row>
    <row r="10675" spans="1:8" s="61" customFormat="1" hidden="1">
      <c r="A10675" s="1"/>
      <c r="B10675" s="1"/>
      <c r="C10675" s="1"/>
      <c r="D10675" s="1"/>
      <c r="E10675" s="62"/>
      <c r="F10675" s="6"/>
      <c r="G10675" s="65"/>
      <c r="H10675" s="65"/>
    </row>
    <row r="10676" spans="1:8" s="61" customFormat="1" hidden="1">
      <c r="A10676" s="1"/>
      <c r="B10676" s="1"/>
      <c r="C10676" s="1"/>
      <c r="D10676" s="1"/>
      <c r="E10676" s="62"/>
      <c r="F10676" s="6"/>
      <c r="G10676" s="65"/>
      <c r="H10676" s="65"/>
    </row>
    <row r="10677" spans="1:8" s="61" customFormat="1" hidden="1">
      <c r="A10677" s="1"/>
      <c r="B10677" s="1"/>
      <c r="C10677" s="1"/>
      <c r="D10677" s="1"/>
      <c r="E10677" s="62"/>
      <c r="F10677" s="6"/>
      <c r="G10677" s="65"/>
      <c r="H10677" s="65"/>
    </row>
    <row r="10678" spans="1:8" s="61" customFormat="1" hidden="1">
      <c r="A10678" s="1"/>
      <c r="B10678" s="1"/>
      <c r="C10678" s="1"/>
      <c r="D10678" s="1"/>
      <c r="E10678" s="62"/>
      <c r="F10678" s="6"/>
      <c r="G10678" s="65"/>
      <c r="H10678" s="65"/>
    </row>
    <row r="10679" spans="1:8" s="61" customFormat="1" hidden="1">
      <c r="A10679" s="1"/>
      <c r="B10679" s="1"/>
      <c r="C10679" s="1"/>
      <c r="D10679" s="1"/>
      <c r="E10679" s="62"/>
      <c r="F10679" s="6"/>
      <c r="G10679" s="65"/>
      <c r="H10679" s="65"/>
    </row>
    <row r="10680" spans="1:8" s="61" customFormat="1" hidden="1">
      <c r="A10680" s="1"/>
      <c r="B10680" s="1"/>
      <c r="C10680" s="1"/>
      <c r="D10680" s="1"/>
      <c r="E10680" s="62"/>
      <c r="F10680" s="6"/>
      <c r="G10680" s="65"/>
      <c r="H10680" s="65"/>
    </row>
    <row r="10681" spans="1:8" s="61" customFormat="1" hidden="1">
      <c r="A10681" s="1"/>
      <c r="B10681" s="1"/>
      <c r="C10681" s="1"/>
      <c r="D10681" s="1"/>
      <c r="E10681" s="62"/>
      <c r="F10681" s="6"/>
      <c r="G10681" s="65"/>
      <c r="H10681" s="65"/>
    </row>
    <row r="10682" spans="1:8" s="61" customFormat="1" hidden="1">
      <c r="A10682" s="1"/>
      <c r="B10682" s="1"/>
      <c r="C10682" s="1"/>
      <c r="D10682" s="1"/>
      <c r="E10682" s="62"/>
      <c r="F10682" s="6"/>
      <c r="G10682" s="65"/>
      <c r="H10682" s="65"/>
    </row>
    <row r="10683" spans="1:8" s="61" customFormat="1" hidden="1">
      <c r="A10683" s="1"/>
      <c r="B10683" s="1"/>
      <c r="C10683" s="1"/>
      <c r="D10683" s="1"/>
      <c r="E10683" s="62"/>
      <c r="F10683" s="6"/>
      <c r="G10683" s="65"/>
      <c r="H10683" s="65"/>
    </row>
    <row r="10684" spans="1:8" s="61" customFormat="1" hidden="1">
      <c r="A10684" s="1"/>
      <c r="B10684" s="1"/>
      <c r="C10684" s="1"/>
      <c r="D10684" s="1"/>
      <c r="E10684" s="62"/>
      <c r="F10684" s="6"/>
      <c r="G10684" s="65"/>
      <c r="H10684" s="65"/>
    </row>
    <row r="10685" spans="1:8" s="61" customFormat="1" hidden="1">
      <c r="A10685" s="1"/>
      <c r="B10685" s="1"/>
      <c r="C10685" s="1"/>
      <c r="D10685" s="1"/>
      <c r="E10685" s="62"/>
      <c r="F10685" s="6"/>
      <c r="G10685" s="65"/>
      <c r="H10685" s="65"/>
    </row>
    <row r="10686" spans="1:8" s="61" customFormat="1" hidden="1">
      <c r="A10686" s="1"/>
      <c r="B10686" s="1"/>
      <c r="C10686" s="1"/>
      <c r="D10686" s="1"/>
      <c r="E10686" s="62"/>
      <c r="F10686" s="6"/>
      <c r="G10686" s="65"/>
      <c r="H10686" s="65"/>
    </row>
    <row r="10687" spans="1:8" s="61" customFormat="1" hidden="1">
      <c r="A10687" s="1"/>
      <c r="B10687" s="1"/>
      <c r="C10687" s="1"/>
      <c r="D10687" s="1"/>
      <c r="E10687" s="62"/>
      <c r="F10687" s="6"/>
      <c r="G10687" s="65"/>
      <c r="H10687" s="65"/>
    </row>
    <row r="10688" spans="1:8" s="61" customFormat="1" hidden="1">
      <c r="A10688" s="1"/>
      <c r="B10688" s="1"/>
      <c r="C10688" s="1"/>
      <c r="D10688" s="1"/>
      <c r="E10688" s="62"/>
      <c r="F10688" s="6"/>
      <c r="G10688" s="65"/>
      <c r="H10688" s="65"/>
    </row>
    <row r="10689" spans="1:8" s="61" customFormat="1" hidden="1">
      <c r="A10689" s="1"/>
      <c r="B10689" s="1"/>
      <c r="C10689" s="1"/>
      <c r="D10689" s="1"/>
      <c r="E10689" s="62"/>
      <c r="F10689" s="6"/>
      <c r="G10689" s="65"/>
      <c r="H10689" s="65"/>
    </row>
    <row r="10690" spans="1:8" s="61" customFormat="1" hidden="1">
      <c r="A10690" s="1"/>
      <c r="B10690" s="1"/>
      <c r="C10690" s="1"/>
      <c r="D10690" s="1"/>
      <c r="E10690" s="62"/>
      <c r="F10690" s="6"/>
      <c r="G10690" s="65"/>
      <c r="H10690" s="65"/>
    </row>
    <row r="10691" spans="1:8" s="61" customFormat="1" hidden="1">
      <c r="A10691" s="1"/>
      <c r="B10691" s="1"/>
      <c r="C10691" s="1"/>
      <c r="D10691" s="1"/>
      <c r="E10691" s="62"/>
      <c r="F10691" s="6"/>
      <c r="G10691" s="65"/>
      <c r="H10691" s="65"/>
    </row>
    <row r="10692" spans="1:8" s="61" customFormat="1" hidden="1">
      <c r="A10692" s="1"/>
      <c r="B10692" s="1"/>
      <c r="C10692" s="1"/>
      <c r="D10692" s="1"/>
      <c r="E10692" s="62"/>
      <c r="F10692" s="6"/>
      <c r="G10692" s="65"/>
      <c r="H10692" s="65"/>
    </row>
    <row r="10693" spans="1:8" s="61" customFormat="1" hidden="1">
      <c r="A10693" s="1"/>
      <c r="B10693" s="1"/>
      <c r="C10693" s="1"/>
      <c r="D10693" s="1"/>
      <c r="E10693" s="62"/>
      <c r="F10693" s="6"/>
      <c r="G10693" s="65"/>
      <c r="H10693" s="65"/>
    </row>
    <row r="10694" spans="1:8" s="61" customFormat="1" hidden="1">
      <c r="A10694" s="1"/>
      <c r="B10694" s="1"/>
      <c r="C10694" s="1"/>
      <c r="D10694" s="1"/>
      <c r="E10694" s="62"/>
      <c r="F10694" s="6"/>
      <c r="G10694" s="65"/>
      <c r="H10694" s="65"/>
    </row>
    <row r="10695" spans="1:8" s="61" customFormat="1" hidden="1">
      <c r="A10695" s="1"/>
      <c r="B10695" s="1"/>
      <c r="C10695" s="1"/>
      <c r="D10695" s="1"/>
      <c r="E10695" s="62"/>
      <c r="F10695" s="6"/>
      <c r="G10695" s="65"/>
      <c r="H10695" s="65"/>
    </row>
    <row r="10696" spans="1:8" s="61" customFormat="1" hidden="1">
      <c r="A10696" s="1"/>
      <c r="B10696" s="1"/>
      <c r="C10696" s="1"/>
      <c r="D10696" s="1"/>
      <c r="E10696" s="62"/>
      <c r="F10696" s="6"/>
      <c r="G10696" s="65"/>
      <c r="H10696" s="65"/>
    </row>
    <row r="10697" spans="1:8" s="61" customFormat="1" hidden="1">
      <c r="A10697" s="1"/>
      <c r="B10697" s="1"/>
      <c r="C10697" s="1"/>
      <c r="D10697" s="1"/>
      <c r="E10697" s="62"/>
      <c r="F10697" s="6"/>
      <c r="G10697" s="65"/>
      <c r="H10697" s="65"/>
    </row>
    <row r="10698" spans="1:8" s="61" customFormat="1" hidden="1">
      <c r="A10698" s="1"/>
      <c r="B10698" s="1"/>
      <c r="C10698" s="1"/>
      <c r="D10698" s="1"/>
      <c r="E10698" s="62"/>
      <c r="F10698" s="6"/>
      <c r="G10698" s="65"/>
      <c r="H10698" s="65"/>
    </row>
    <row r="10699" spans="1:8" s="61" customFormat="1" hidden="1">
      <c r="A10699" s="1"/>
      <c r="B10699" s="1"/>
      <c r="C10699" s="1"/>
      <c r="D10699" s="1"/>
      <c r="E10699" s="62"/>
      <c r="F10699" s="6"/>
      <c r="G10699" s="65"/>
      <c r="H10699" s="65"/>
    </row>
    <row r="10700" spans="1:8" s="61" customFormat="1" hidden="1">
      <c r="A10700" s="1"/>
      <c r="B10700" s="1"/>
      <c r="C10700" s="1"/>
      <c r="D10700" s="1"/>
      <c r="E10700" s="62"/>
      <c r="F10700" s="6"/>
      <c r="G10700" s="65"/>
      <c r="H10700" s="65"/>
    </row>
    <row r="10701" spans="1:8" s="61" customFormat="1" hidden="1">
      <c r="A10701" s="1"/>
      <c r="B10701" s="1"/>
      <c r="C10701" s="1"/>
      <c r="D10701" s="1"/>
      <c r="E10701" s="62"/>
      <c r="F10701" s="6"/>
      <c r="G10701" s="65"/>
      <c r="H10701" s="65"/>
    </row>
    <row r="10702" spans="1:8" s="61" customFormat="1" hidden="1">
      <c r="A10702" s="1"/>
      <c r="B10702" s="1"/>
      <c r="C10702" s="1"/>
      <c r="D10702" s="1"/>
      <c r="E10702" s="62"/>
      <c r="F10702" s="6"/>
      <c r="G10702" s="65"/>
      <c r="H10702" s="65"/>
    </row>
    <row r="10703" spans="1:8" s="61" customFormat="1" hidden="1">
      <c r="A10703" s="1"/>
      <c r="B10703" s="1"/>
      <c r="C10703" s="1"/>
      <c r="D10703" s="1"/>
      <c r="E10703" s="62"/>
      <c r="F10703" s="6"/>
      <c r="G10703" s="65"/>
      <c r="H10703" s="65"/>
    </row>
    <row r="10704" spans="1:8" s="61" customFormat="1" hidden="1">
      <c r="A10704" s="1"/>
      <c r="B10704" s="1"/>
      <c r="C10704" s="1"/>
      <c r="D10704" s="1"/>
      <c r="E10704" s="62"/>
      <c r="F10704" s="6"/>
      <c r="G10704" s="65"/>
      <c r="H10704" s="65"/>
    </row>
    <row r="10705" spans="1:8" s="61" customFormat="1" hidden="1">
      <c r="A10705" s="1"/>
      <c r="B10705" s="1"/>
      <c r="C10705" s="1"/>
      <c r="D10705" s="1"/>
      <c r="E10705" s="62"/>
      <c r="F10705" s="6"/>
      <c r="G10705" s="65"/>
      <c r="H10705" s="65"/>
    </row>
    <row r="10706" spans="1:8" s="61" customFormat="1" hidden="1">
      <c r="A10706" s="1"/>
      <c r="B10706" s="1"/>
      <c r="C10706" s="1"/>
      <c r="D10706" s="1"/>
      <c r="E10706" s="62"/>
      <c r="F10706" s="6"/>
      <c r="G10706" s="65"/>
      <c r="H10706" s="65"/>
    </row>
    <row r="10707" spans="1:8" s="61" customFormat="1" hidden="1">
      <c r="A10707" s="1"/>
      <c r="B10707" s="1"/>
      <c r="C10707" s="1"/>
      <c r="D10707" s="1"/>
      <c r="E10707" s="62"/>
      <c r="F10707" s="6"/>
      <c r="G10707" s="65"/>
      <c r="H10707" s="65"/>
    </row>
    <row r="10708" spans="1:8" s="61" customFormat="1" hidden="1">
      <c r="A10708" s="1"/>
      <c r="B10708" s="1"/>
      <c r="C10708" s="1"/>
      <c r="D10708" s="1"/>
      <c r="E10708" s="62"/>
      <c r="F10708" s="6"/>
      <c r="G10708" s="65"/>
      <c r="H10708" s="65"/>
    </row>
    <row r="10709" spans="1:8" s="61" customFormat="1" hidden="1">
      <c r="A10709" s="1"/>
      <c r="B10709" s="1"/>
      <c r="C10709" s="1"/>
      <c r="D10709" s="1"/>
      <c r="E10709" s="62"/>
      <c r="F10709" s="6"/>
      <c r="G10709" s="65"/>
      <c r="H10709" s="65"/>
    </row>
    <row r="10710" spans="1:8" s="61" customFormat="1" hidden="1">
      <c r="A10710" s="1"/>
      <c r="B10710" s="1"/>
      <c r="C10710" s="1"/>
      <c r="D10710" s="1"/>
      <c r="E10710" s="62"/>
      <c r="F10710" s="6"/>
      <c r="G10710" s="65"/>
      <c r="H10710" s="65"/>
    </row>
    <row r="10711" spans="1:8" s="61" customFormat="1" hidden="1">
      <c r="A10711" s="1"/>
      <c r="B10711" s="1"/>
      <c r="C10711" s="1"/>
      <c r="D10711" s="1"/>
      <c r="E10711" s="62"/>
      <c r="F10711" s="6"/>
      <c r="G10711" s="65"/>
      <c r="H10711" s="65"/>
    </row>
    <row r="10712" spans="1:8" s="61" customFormat="1" hidden="1">
      <c r="A10712" s="1"/>
      <c r="B10712" s="1"/>
      <c r="C10712" s="1"/>
      <c r="D10712" s="1"/>
      <c r="E10712" s="62"/>
      <c r="F10712" s="6"/>
      <c r="G10712" s="65"/>
      <c r="H10712" s="65"/>
    </row>
    <row r="10713" spans="1:8" s="61" customFormat="1" hidden="1">
      <c r="A10713" s="1"/>
      <c r="B10713" s="1"/>
      <c r="C10713" s="1"/>
      <c r="D10713" s="1"/>
      <c r="E10713" s="62"/>
      <c r="F10713" s="6"/>
      <c r="G10713" s="65"/>
      <c r="H10713" s="65"/>
    </row>
    <row r="10714" spans="1:8" s="61" customFormat="1" hidden="1">
      <c r="A10714" s="1"/>
      <c r="B10714" s="1"/>
      <c r="C10714" s="1"/>
      <c r="D10714" s="1"/>
      <c r="E10714" s="62"/>
      <c r="F10714" s="6"/>
      <c r="G10714" s="65"/>
      <c r="H10714" s="65"/>
    </row>
    <row r="10715" spans="1:8" s="61" customFormat="1" hidden="1">
      <c r="A10715" s="1"/>
      <c r="B10715" s="1"/>
      <c r="C10715" s="1"/>
      <c r="D10715" s="1"/>
      <c r="E10715" s="62"/>
      <c r="F10715" s="6"/>
      <c r="G10715" s="65"/>
      <c r="H10715" s="65"/>
    </row>
    <row r="10716" spans="1:8" s="61" customFormat="1" hidden="1">
      <c r="A10716" s="1"/>
      <c r="B10716" s="1"/>
      <c r="C10716" s="1"/>
      <c r="D10716" s="1"/>
      <c r="E10716" s="62"/>
      <c r="F10716" s="6"/>
      <c r="G10716" s="65"/>
      <c r="H10716" s="65"/>
    </row>
    <row r="10717" spans="1:8" s="61" customFormat="1" hidden="1">
      <c r="A10717" s="1"/>
      <c r="B10717" s="1"/>
      <c r="C10717" s="1"/>
      <c r="D10717" s="1"/>
      <c r="E10717" s="62"/>
      <c r="F10717" s="6"/>
      <c r="G10717" s="65"/>
      <c r="H10717" s="65"/>
    </row>
    <row r="10718" spans="1:8" s="61" customFormat="1" hidden="1">
      <c r="A10718" s="1"/>
      <c r="B10718" s="1"/>
      <c r="C10718" s="1"/>
      <c r="D10718" s="1"/>
      <c r="E10718" s="62"/>
      <c r="F10718" s="6"/>
      <c r="G10718" s="65"/>
      <c r="H10718" s="65"/>
    </row>
    <row r="10719" spans="1:8" s="61" customFormat="1" hidden="1">
      <c r="A10719" s="1"/>
      <c r="B10719" s="1"/>
      <c r="C10719" s="1"/>
      <c r="D10719" s="1"/>
      <c r="E10719" s="62"/>
      <c r="F10719" s="6"/>
      <c r="G10719" s="65"/>
      <c r="H10719" s="65"/>
    </row>
    <row r="10720" spans="1:8" s="61" customFormat="1" hidden="1">
      <c r="A10720" s="1"/>
      <c r="B10720" s="1"/>
      <c r="C10720" s="1"/>
      <c r="D10720" s="1"/>
      <c r="E10720" s="62"/>
      <c r="F10720" s="6"/>
      <c r="G10720" s="65"/>
      <c r="H10720" s="65"/>
    </row>
    <row r="10721" spans="1:8" s="61" customFormat="1" hidden="1">
      <c r="A10721" s="1"/>
      <c r="B10721" s="1"/>
      <c r="C10721" s="1"/>
      <c r="D10721" s="1"/>
      <c r="E10721" s="62"/>
      <c r="F10721" s="6"/>
      <c r="G10721" s="65"/>
      <c r="H10721" s="65"/>
    </row>
    <row r="10722" spans="1:8" s="61" customFormat="1" hidden="1">
      <c r="A10722" s="1"/>
      <c r="B10722" s="1"/>
      <c r="C10722" s="1"/>
      <c r="D10722" s="1"/>
      <c r="E10722" s="62"/>
      <c r="F10722" s="6"/>
      <c r="G10722" s="65"/>
      <c r="H10722" s="65"/>
    </row>
    <row r="10723" spans="1:8" s="61" customFormat="1" hidden="1">
      <c r="A10723" s="1"/>
      <c r="B10723" s="1"/>
      <c r="C10723" s="1"/>
      <c r="D10723" s="1"/>
      <c r="E10723" s="62"/>
      <c r="F10723" s="6"/>
      <c r="G10723" s="65"/>
      <c r="H10723" s="65"/>
    </row>
    <row r="10724" spans="1:8" s="61" customFormat="1" hidden="1">
      <c r="A10724" s="1"/>
      <c r="B10724" s="1"/>
      <c r="C10724" s="1"/>
      <c r="D10724" s="1"/>
      <c r="E10724" s="62"/>
      <c r="F10724" s="6"/>
      <c r="G10724" s="65"/>
      <c r="H10724" s="65"/>
    </row>
    <row r="10725" spans="1:8" s="61" customFormat="1" hidden="1">
      <c r="A10725" s="1"/>
      <c r="B10725" s="1"/>
      <c r="C10725" s="1"/>
      <c r="D10725" s="1"/>
      <c r="E10725" s="62"/>
      <c r="F10725" s="6"/>
      <c r="G10725" s="65"/>
      <c r="H10725" s="65"/>
    </row>
    <row r="10726" spans="1:8" s="61" customFormat="1" hidden="1">
      <c r="A10726" s="1"/>
      <c r="B10726" s="1"/>
      <c r="C10726" s="1"/>
      <c r="D10726" s="1"/>
      <c r="E10726" s="62"/>
      <c r="F10726" s="6"/>
      <c r="G10726" s="65"/>
      <c r="H10726" s="65"/>
    </row>
    <row r="10727" spans="1:8" s="61" customFormat="1" hidden="1">
      <c r="A10727" s="1"/>
      <c r="B10727" s="1"/>
      <c r="C10727" s="1"/>
      <c r="D10727" s="1"/>
      <c r="E10727" s="62"/>
      <c r="F10727" s="6"/>
      <c r="G10727" s="65"/>
      <c r="H10727" s="65"/>
    </row>
    <row r="10728" spans="1:8" s="61" customFormat="1" hidden="1">
      <c r="A10728" s="1"/>
      <c r="B10728" s="1"/>
      <c r="C10728" s="1"/>
      <c r="D10728" s="1"/>
      <c r="E10728" s="62"/>
      <c r="F10728" s="6"/>
      <c r="G10728" s="65"/>
      <c r="H10728" s="65"/>
    </row>
    <row r="10729" spans="1:8" s="61" customFormat="1" hidden="1">
      <c r="A10729" s="1"/>
      <c r="B10729" s="1"/>
      <c r="C10729" s="1"/>
      <c r="D10729" s="1"/>
      <c r="E10729" s="62"/>
      <c r="F10729" s="6"/>
      <c r="G10729" s="65"/>
      <c r="H10729" s="65"/>
    </row>
    <row r="10730" spans="1:8" s="61" customFormat="1" hidden="1">
      <c r="A10730" s="1"/>
      <c r="B10730" s="1"/>
      <c r="C10730" s="1"/>
      <c r="D10730" s="1"/>
      <c r="E10730" s="62"/>
      <c r="F10730" s="6"/>
      <c r="G10730" s="65"/>
      <c r="H10730" s="65"/>
    </row>
    <row r="10731" spans="1:8" s="61" customFormat="1" hidden="1">
      <c r="A10731" s="1"/>
      <c r="B10731" s="1"/>
      <c r="C10731" s="1"/>
      <c r="D10731" s="1"/>
      <c r="E10731" s="62"/>
      <c r="F10731" s="6"/>
      <c r="G10731" s="65"/>
      <c r="H10731" s="65"/>
    </row>
    <row r="10732" spans="1:8" s="61" customFormat="1" hidden="1">
      <c r="A10732" s="1"/>
      <c r="B10732" s="1"/>
      <c r="C10732" s="1"/>
      <c r="D10732" s="1"/>
      <c r="E10732" s="62"/>
      <c r="F10732" s="6"/>
      <c r="G10732" s="65"/>
      <c r="H10732" s="65"/>
    </row>
    <row r="10733" spans="1:8" s="61" customFormat="1" hidden="1">
      <c r="A10733" s="1"/>
      <c r="B10733" s="1"/>
      <c r="C10733" s="1"/>
      <c r="D10733" s="1"/>
      <c r="E10733" s="62"/>
      <c r="F10733" s="6"/>
      <c r="G10733" s="65"/>
      <c r="H10733" s="65"/>
    </row>
    <row r="10734" spans="1:8" s="61" customFormat="1" hidden="1">
      <c r="A10734" s="1"/>
      <c r="B10734" s="1"/>
      <c r="C10734" s="1"/>
      <c r="D10734" s="1"/>
      <c r="E10734" s="62"/>
      <c r="F10734" s="6"/>
      <c r="G10734" s="65"/>
      <c r="H10734" s="65"/>
    </row>
    <row r="10735" spans="1:8" s="61" customFormat="1" hidden="1">
      <c r="A10735" s="1"/>
      <c r="B10735" s="1"/>
      <c r="C10735" s="1"/>
      <c r="D10735" s="1"/>
      <c r="E10735" s="62"/>
      <c r="F10735" s="6"/>
      <c r="G10735" s="65"/>
      <c r="H10735" s="65"/>
    </row>
    <row r="10736" spans="1:8" s="61" customFormat="1" hidden="1">
      <c r="A10736" s="1"/>
      <c r="B10736" s="1"/>
      <c r="C10736" s="1"/>
      <c r="D10736" s="1"/>
      <c r="E10736" s="62"/>
      <c r="F10736" s="6"/>
      <c r="G10736" s="65"/>
      <c r="H10736" s="65"/>
    </row>
    <row r="10737" spans="1:8" s="61" customFormat="1" hidden="1">
      <c r="A10737" s="1"/>
      <c r="B10737" s="1"/>
      <c r="C10737" s="1"/>
      <c r="D10737" s="1"/>
      <c r="E10737" s="62"/>
      <c r="F10737" s="6"/>
      <c r="G10737" s="65"/>
      <c r="H10737" s="65"/>
    </row>
    <row r="10738" spans="1:8" s="61" customFormat="1" hidden="1">
      <c r="A10738" s="1"/>
      <c r="B10738" s="1"/>
      <c r="C10738" s="1"/>
      <c r="D10738" s="1"/>
      <c r="E10738" s="62"/>
      <c r="F10738" s="6"/>
      <c r="G10738" s="65"/>
      <c r="H10738" s="65"/>
    </row>
    <row r="10739" spans="1:8" s="61" customFormat="1" hidden="1">
      <c r="A10739" s="1"/>
      <c r="B10739" s="1"/>
      <c r="C10739" s="1"/>
      <c r="D10739" s="1"/>
      <c r="E10739" s="62"/>
      <c r="F10739" s="6"/>
      <c r="G10739" s="65"/>
      <c r="H10739" s="65"/>
    </row>
    <row r="10740" spans="1:8" s="61" customFormat="1" hidden="1">
      <c r="A10740" s="1"/>
      <c r="B10740" s="1"/>
      <c r="C10740" s="1"/>
      <c r="D10740" s="1"/>
      <c r="E10740" s="62"/>
      <c r="F10740" s="6"/>
      <c r="G10740" s="65"/>
      <c r="H10740" s="65"/>
    </row>
    <row r="10741" spans="1:8" s="61" customFormat="1" hidden="1">
      <c r="A10741" s="1"/>
      <c r="B10741" s="1"/>
      <c r="C10741" s="1"/>
      <c r="D10741" s="1"/>
      <c r="E10741" s="62"/>
      <c r="F10741" s="6"/>
      <c r="G10741" s="65"/>
      <c r="H10741" s="65"/>
    </row>
    <row r="10742" spans="1:8" s="61" customFormat="1" hidden="1">
      <c r="A10742" s="1"/>
      <c r="B10742" s="1"/>
      <c r="C10742" s="1"/>
      <c r="D10742" s="1"/>
      <c r="E10742" s="62"/>
      <c r="F10742" s="6"/>
      <c r="G10742" s="65"/>
      <c r="H10742" s="65"/>
    </row>
    <row r="10743" spans="1:8" s="61" customFormat="1" hidden="1">
      <c r="A10743" s="1"/>
      <c r="B10743" s="1"/>
      <c r="C10743" s="1"/>
      <c r="D10743" s="1"/>
      <c r="E10743" s="62"/>
      <c r="F10743" s="6"/>
      <c r="G10743" s="65"/>
      <c r="H10743" s="65"/>
    </row>
    <row r="10744" spans="1:8" s="61" customFormat="1" hidden="1">
      <c r="A10744" s="1"/>
      <c r="B10744" s="1"/>
      <c r="C10744" s="1"/>
      <c r="D10744" s="1"/>
      <c r="E10744" s="62"/>
      <c r="F10744" s="6"/>
      <c r="G10744" s="65"/>
      <c r="H10744" s="65"/>
    </row>
    <row r="10745" spans="1:8" s="61" customFormat="1" hidden="1">
      <c r="A10745" s="1"/>
      <c r="B10745" s="1"/>
      <c r="C10745" s="1"/>
      <c r="D10745" s="1"/>
      <c r="E10745" s="62"/>
      <c r="F10745" s="6"/>
      <c r="G10745" s="65"/>
      <c r="H10745" s="65"/>
    </row>
    <row r="10746" spans="1:8" s="61" customFormat="1" hidden="1">
      <c r="A10746" s="1"/>
      <c r="B10746" s="1"/>
      <c r="C10746" s="1"/>
      <c r="D10746" s="1"/>
      <c r="E10746" s="62"/>
      <c r="F10746" s="6"/>
      <c r="G10746" s="65"/>
      <c r="H10746" s="65"/>
    </row>
    <row r="10747" spans="1:8" s="61" customFormat="1" hidden="1">
      <c r="A10747" s="1"/>
      <c r="B10747" s="1"/>
      <c r="C10747" s="1"/>
      <c r="D10747" s="1"/>
      <c r="E10747" s="62"/>
      <c r="F10747" s="6"/>
      <c r="G10747" s="65"/>
      <c r="H10747" s="65"/>
    </row>
    <row r="10748" spans="1:8" s="61" customFormat="1" hidden="1">
      <c r="A10748" s="1"/>
      <c r="B10748" s="1"/>
      <c r="C10748" s="1"/>
      <c r="D10748" s="1"/>
      <c r="E10748" s="62"/>
      <c r="F10748" s="6"/>
      <c r="G10748" s="65"/>
      <c r="H10748" s="65"/>
    </row>
    <row r="10749" spans="1:8" s="61" customFormat="1" hidden="1">
      <c r="A10749" s="1"/>
      <c r="B10749" s="1"/>
      <c r="C10749" s="1"/>
      <c r="D10749" s="1"/>
      <c r="E10749" s="62"/>
      <c r="F10749" s="6"/>
      <c r="G10749" s="65"/>
      <c r="H10749" s="65"/>
    </row>
    <row r="10750" spans="1:8" s="61" customFormat="1" hidden="1">
      <c r="A10750" s="1"/>
      <c r="B10750" s="1"/>
      <c r="C10750" s="1"/>
      <c r="D10750" s="1"/>
      <c r="E10750" s="62"/>
      <c r="F10750" s="6"/>
      <c r="G10750" s="65"/>
      <c r="H10750" s="65"/>
    </row>
    <row r="10751" spans="1:8" s="61" customFormat="1" hidden="1">
      <c r="A10751" s="1"/>
      <c r="B10751" s="1"/>
      <c r="C10751" s="1"/>
      <c r="D10751" s="1"/>
      <c r="E10751" s="62"/>
      <c r="F10751" s="6"/>
      <c r="G10751" s="65"/>
      <c r="H10751" s="65"/>
    </row>
    <row r="10752" spans="1:8" s="61" customFormat="1" hidden="1">
      <c r="A10752" s="1"/>
      <c r="B10752" s="1"/>
      <c r="C10752" s="1"/>
      <c r="D10752" s="1"/>
      <c r="E10752" s="62"/>
      <c r="F10752" s="6"/>
      <c r="G10752" s="65"/>
      <c r="H10752" s="65"/>
    </row>
    <row r="10753" spans="1:8" s="61" customFormat="1" hidden="1">
      <c r="A10753" s="1"/>
      <c r="B10753" s="1"/>
      <c r="C10753" s="1"/>
      <c r="D10753" s="1"/>
      <c r="E10753" s="62"/>
      <c r="F10753" s="6"/>
      <c r="G10753" s="65"/>
      <c r="H10753" s="65"/>
    </row>
    <row r="10754" spans="1:8" s="61" customFormat="1" hidden="1">
      <c r="A10754" s="1"/>
      <c r="B10754" s="1"/>
      <c r="C10754" s="1"/>
      <c r="D10754" s="1"/>
      <c r="E10754" s="62"/>
      <c r="F10754" s="6"/>
      <c r="G10754" s="65"/>
      <c r="H10754" s="65"/>
    </row>
    <row r="10755" spans="1:8" s="61" customFormat="1" hidden="1">
      <c r="A10755" s="1"/>
      <c r="B10755" s="1"/>
      <c r="C10755" s="1"/>
      <c r="D10755" s="1"/>
      <c r="E10755" s="62"/>
      <c r="F10755" s="6"/>
      <c r="G10755" s="65"/>
      <c r="H10755" s="65"/>
    </row>
    <row r="10756" spans="1:8" s="61" customFormat="1" hidden="1">
      <c r="A10756" s="1"/>
      <c r="B10756" s="1"/>
      <c r="C10756" s="1"/>
      <c r="D10756" s="1"/>
      <c r="E10756" s="62"/>
      <c r="F10756" s="6"/>
      <c r="G10756" s="65"/>
      <c r="H10756" s="65"/>
    </row>
    <row r="10757" spans="1:8" s="61" customFormat="1" hidden="1">
      <c r="A10757" s="1"/>
      <c r="B10757" s="1"/>
      <c r="C10757" s="1"/>
      <c r="D10757" s="1"/>
      <c r="E10757" s="62"/>
      <c r="F10757" s="6"/>
      <c r="G10757" s="65"/>
      <c r="H10757" s="65"/>
    </row>
    <row r="10758" spans="1:8" s="61" customFormat="1" hidden="1">
      <c r="A10758" s="1"/>
      <c r="B10758" s="1"/>
      <c r="C10758" s="1"/>
      <c r="D10758" s="1"/>
      <c r="E10758" s="62"/>
      <c r="F10758" s="6"/>
      <c r="G10758" s="65"/>
      <c r="H10758" s="65"/>
    </row>
    <row r="10759" spans="1:8" s="61" customFormat="1" hidden="1">
      <c r="A10759" s="1"/>
      <c r="B10759" s="1"/>
      <c r="C10759" s="1"/>
      <c r="D10759" s="1"/>
      <c r="E10759" s="62"/>
      <c r="F10759" s="6"/>
      <c r="G10759" s="65"/>
      <c r="H10759" s="65"/>
    </row>
    <row r="10760" spans="1:8" s="61" customFormat="1" hidden="1">
      <c r="A10760" s="1"/>
      <c r="B10760" s="1"/>
      <c r="C10760" s="1"/>
      <c r="D10760" s="1"/>
      <c r="E10760" s="62"/>
      <c r="F10760" s="6"/>
      <c r="G10760" s="65"/>
      <c r="H10760" s="65"/>
    </row>
    <row r="10761" spans="1:8" s="61" customFormat="1" hidden="1">
      <c r="A10761" s="1"/>
      <c r="B10761" s="1"/>
      <c r="C10761" s="1"/>
      <c r="D10761" s="1"/>
      <c r="E10761" s="62"/>
      <c r="F10761" s="6"/>
      <c r="G10761" s="65"/>
      <c r="H10761" s="65"/>
    </row>
    <row r="10762" spans="1:8" s="61" customFormat="1" hidden="1">
      <c r="A10762" s="1"/>
      <c r="B10762" s="1"/>
      <c r="C10762" s="1"/>
      <c r="D10762" s="1"/>
      <c r="E10762" s="62"/>
      <c r="F10762" s="6"/>
      <c r="G10762" s="65"/>
      <c r="H10762" s="65"/>
    </row>
    <row r="10763" spans="1:8" s="61" customFormat="1" hidden="1">
      <c r="A10763" s="1"/>
      <c r="B10763" s="1"/>
      <c r="C10763" s="1"/>
      <c r="D10763" s="1"/>
      <c r="E10763" s="62"/>
      <c r="F10763" s="6"/>
      <c r="G10763" s="65"/>
      <c r="H10763" s="65"/>
    </row>
    <row r="10764" spans="1:8" s="61" customFormat="1" hidden="1">
      <c r="A10764" s="1"/>
      <c r="B10764" s="1"/>
      <c r="C10764" s="1"/>
      <c r="D10764" s="1"/>
      <c r="E10764" s="62"/>
      <c r="F10764" s="6"/>
      <c r="G10764" s="65"/>
      <c r="H10764" s="65"/>
    </row>
    <row r="10765" spans="1:8" s="61" customFormat="1" hidden="1">
      <c r="A10765" s="1"/>
      <c r="B10765" s="1"/>
      <c r="C10765" s="1"/>
      <c r="D10765" s="1"/>
      <c r="E10765" s="62"/>
      <c r="F10765" s="6"/>
      <c r="G10765" s="65"/>
      <c r="H10765" s="65"/>
    </row>
    <row r="10766" spans="1:8" s="61" customFormat="1" hidden="1">
      <c r="A10766" s="1"/>
      <c r="B10766" s="1"/>
      <c r="C10766" s="1"/>
      <c r="D10766" s="1"/>
      <c r="E10766" s="62"/>
      <c r="F10766" s="6"/>
      <c r="G10766" s="65"/>
      <c r="H10766" s="65"/>
    </row>
    <row r="10767" spans="1:8" s="61" customFormat="1" hidden="1">
      <c r="A10767" s="1"/>
      <c r="B10767" s="1"/>
      <c r="C10767" s="1"/>
      <c r="D10767" s="1"/>
      <c r="E10767" s="62"/>
      <c r="F10767" s="6"/>
      <c r="G10767" s="65"/>
      <c r="H10767" s="65"/>
    </row>
    <row r="10768" spans="1:8" s="61" customFormat="1" hidden="1">
      <c r="A10768" s="1"/>
      <c r="B10768" s="1"/>
      <c r="C10768" s="1"/>
      <c r="D10768" s="1"/>
      <c r="E10768" s="62"/>
      <c r="F10768" s="6"/>
      <c r="G10768" s="65"/>
      <c r="H10768" s="65"/>
    </row>
    <row r="10769" spans="1:8" s="61" customFormat="1" hidden="1">
      <c r="A10769" s="1"/>
      <c r="B10769" s="1"/>
      <c r="C10769" s="1"/>
      <c r="D10769" s="1"/>
      <c r="E10769" s="62"/>
      <c r="F10769" s="6"/>
      <c r="G10769" s="65"/>
      <c r="H10769" s="65"/>
    </row>
    <row r="10770" spans="1:8" s="61" customFormat="1" hidden="1">
      <c r="A10770" s="1"/>
      <c r="B10770" s="1"/>
      <c r="C10770" s="1"/>
      <c r="D10770" s="1"/>
      <c r="E10770" s="62"/>
      <c r="F10770" s="6"/>
      <c r="G10770" s="65"/>
      <c r="H10770" s="65"/>
    </row>
    <row r="10771" spans="1:8" s="61" customFormat="1" hidden="1">
      <c r="A10771" s="1"/>
      <c r="B10771" s="1"/>
      <c r="C10771" s="1"/>
      <c r="D10771" s="1"/>
      <c r="E10771" s="62"/>
      <c r="F10771" s="6"/>
      <c r="G10771" s="65"/>
      <c r="H10771" s="65"/>
    </row>
    <row r="10772" spans="1:8" s="61" customFormat="1" hidden="1">
      <c r="A10772" s="1"/>
      <c r="B10772" s="1"/>
      <c r="C10772" s="1"/>
      <c r="D10772" s="1"/>
      <c r="E10772" s="62"/>
      <c r="F10772" s="6"/>
      <c r="G10772" s="65"/>
      <c r="H10772" s="65"/>
    </row>
    <row r="10773" spans="1:8" s="61" customFormat="1" hidden="1">
      <c r="A10773" s="1"/>
      <c r="B10773" s="1"/>
      <c r="C10773" s="1"/>
      <c r="D10773" s="1"/>
      <c r="E10773" s="62"/>
      <c r="F10773" s="6"/>
      <c r="G10773" s="65"/>
      <c r="H10773" s="65"/>
    </row>
    <row r="10774" spans="1:8" s="61" customFormat="1" hidden="1">
      <c r="A10774" s="1"/>
      <c r="B10774" s="1"/>
      <c r="C10774" s="1"/>
      <c r="D10774" s="1"/>
      <c r="E10774" s="62"/>
      <c r="F10774" s="6"/>
      <c r="G10774" s="65"/>
      <c r="H10774" s="65"/>
    </row>
    <row r="10775" spans="1:8" s="61" customFormat="1" hidden="1">
      <c r="A10775" s="1"/>
      <c r="B10775" s="1"/>
      <c r="C10775" s="1"/>
      <c r="D10775" s="1"/>
      <c r="E10775" s="62"/>
      <c r="F10775" s="6"/>
      <c r="G10775" s="65"/>
      <c r="H10775" s="65"/>
    </row>
    <row r="10776" spans="1:8" s="61" customFormat="1" hidden="1">
      <c r="A10776" s="1"/>
      <c r="B10776" s="1"/>
      <c r="C10776" s="1"/>
      <c r="D10776" s="1"/>
      <c r="E10776" s="62"/>
      <c r="F10776" s="6"/>
      <c r="G10776" s="65"/>
      <c r="H10776" s="65"/>
    </row>
    <row r="10777" spans="1:8" s="61" customFormat="1" hidden="1">
      <c r="A10777" s="1"/>
      <c r="B10777" s="1"/>
      <c r="C10777" s="1"/>
      <c r="D10777" s="1"/>
      <c r="E10777" s="62"/>
      <c r="F10777" s="6"/>
      <c r="G10777" s="65"/>
      <c r="H10777" s="65"/>
    </row>
    <row r="10778" spans="1:8" s="61" customFormat="1" hidden="1">
      <c r="A10778" s="1"/>
      <c r="B10778" s="1"/>
      <c r="C10778" s="1"/>
      <c r="D10778" s="1"/>
      <c r="E10778" s="62"/>
      <c r="F10778" s="6"/>
      <c r="G10778" s="65"/>
      <c r="H10778" s="65"/>
    </row>
    <row r="10779" spans="1:8" s="61" customFormat="1" hidden="1">
      <c r="A10779" s="1"/>
      <c r="B10779" s="1"/>
      <c r="C10779" s="1"/>
      <c r="D10779" s="1"/>
      <c r="E10779" s="62"/>
      <c r="F10779" s="6"/>
      <c r="G10779" s="65"/>
      <c r="H10779" s="65"/>
    </row>
    <row r="10780" spans="1:8" s="61" customFormat="1" hidden="1">
      <c r="A10780" s="1"/>
      <c r="B10780" s="1"/>
      <c r="C10780" s="1"/>
      <c r="D10780" s="1"/>
      <c r="E10780" s="62"/>
      <c r="F10780" s="6"/>
      <c r="G10780" s="65"/>
      <c r="H10780" s="65"/>
    </row>
    <row r="10781" spans="1:8" s="61" customFormat="1" hidden="1">
      <c r="A10781" s="1"/>
      <c r="B10781" s="1"/>
      <c r="C10781" s="1"/>
      <c r="D10781" s="1"/>
      <c r="E10781" s="62"/>
      <c r="F10781" s="6"/>
      <c r="G10781" s="65"/>
      <c r="H10781" s="65"/>
    </row>
    <row r="10782" spans="1:8" s="61" customFormat="1" hidden="1">
      <c r="A10782" s="1"/>
      <c r="B10782" s="1"/>
      <c r="C10782" s="1"/>
      <c r="D10782" s="1"/>
      <c r="E10782" s="62"/>
      <c r="F10782" s="6"/>
      <c r="G10782" s="65"/>
      <c r="H10782" s="65"/>
    </row>
    <row r="10783" spans="1:8" s="61" customFormat="1" hidden="1">
      <c r="A10783" s="1"/>
      <c r="B10783" s="1"/>
      <c r="C10783" s="1"/>
      <c r="D10783" s="1"/>
      <c r="E10783" s="62"/>
      <c r="F10783" s="6"/>
      <c r="G10783" s="65"/>
      <c r="H10783" s="65"/>
    </row>
    <row r="10784" spans="1:8" s="61" customFormat="1" hidden="1">
      <c r="A10784" s="1"/>
      <c r="B10784" s="1"/>
      <c r="C10784" s="1"/>
      <c r="D10784" s="1"/>
      <c r="E10784" s="62"/>
      <c r="F10784" s="6"/>
      <c r="G10784" s="65"/>
      <c r="H10784" s="65"/>
    </row>
    <row r="10785" spans="1:8" s="61" customFormat="1" hidden="1">
      <c r="A10785" s="1"/>
      <c r="B10785" s="1"/>
      <c r="C10785" s="1"/>
      <c r="D10785" s="1"/>
      <c r="E10785" s="62"/>
      <c r="F10785" s="6"/>
      <c r="G10785" s="65"/>
      <c r="H10785" s="65"/>
    </row>
    <row r="10786" spans="1:8" s="61" customFormat="1" hidden="1">
      <c r="A10786" s="1"/>
      <c r="B10786" s="1"/>
      <c r="C10786" s="1"/>
      <c r="D10786" s="1"/>
      <c r="E10786" s="62"/>
      <c r="F10786" s="6"/>
      <c r="G10786" s="65"/>
      <c r="H10786" s="65"/>
    </row>
    <row r="10787" spans="1:8" s="61" customFormat="1" hidden="1">
      <c r="A10787" s="1"/>
      <c r="B10787" s="1"/>
      <c r="C10787" s="1"/>
      <c r="D10787" s="1"/>
      <c r="E10787" s="62"/>
      <c r="F10787" s="6"/>
      <c r="G10787" s="65"/>
      <c r="H10787" s="65"/>
    </row>
    <row r="10788" spans="1:8" s="61" customFormat="1" hidden="1">
      <c r="A10788" s="1"/>
      <c r="B10788" s="1"/>
      <c r="C10788" s="1"/>
      <c r="D10788" s="1"/>
      <c r="E10788" s="62"/>
      <c r="F10788" s="6"/>
      <c r="G10788" s="65"/>
      <c r="H10788" s="65"/>
    </row>
    <row r="10789" spans="1:8" s="61" customFormat="1" hidden="1">
      <c r="A10789" s="1"/>
      <c r="B10789" s="1"/>
      <c r="C10789" s="1"/>
      <c r="D10789" s="1"/>
      <c r="E10789" s="62"/>
      <c r="F10789" s="6"/>
      <c r="G10789" s="65"/>
      <c r="H10789" s="65"/>
    </row>
    <row r="10790" spans="1:8" s="61" customFormat="1" hidden="1">
      <c r="A10790" s="1"/>
      <c r="B10790" s="1"/>
      <c r="C10790" s="1"/>
      <c r="D10790" s="1"/>
      <c r="E10790" s="62"/>
      <c r="F10790" s="6"/>
      <c r="G10790" s="65"/>
      <c r="H10790" s="65"/>
    </row>
    <row r="10791" spans="1:8" s="61" customFormat="1" hidden="1">
      <c r="A10791" s="1"/>
      <c r="B10791" s="1"/>
      <c r="C10791" s="1"/>
      <c r="D10791" s="1"/>
      <c r="E10791" s="62"/>
      <c r="F10791" s="6"/>
      <c r="G10791" s="65"/>
      <c r="H10791" s="65"/>
    </row>
    <row r="10792" spans="1:8" s="61" customFormat="1" hidden="1">
      <c r="A10792" s="1"/>
      <c r="B10792" s="1"/>
      <c r="C10792" s="1"/>
      <c r="D10792" s="1"/>
      <c r="E10792" s="62"/>
      <c r="F10792" s="6"/>
      <c r="G10792" s="65"/>
      <c r="H10792" s="65"/>
    </row>
    <row r="10793" spans="1:8" s="61" customFormat="1" hidden="1">
      <c r="A10793" s="1"/>
      <c r="B10793" s="1"/>
      <c r="C10793" s="1"/>
      <c r="D10793" s="1"/>
      <c r="E10793" s="62"/>
      <c r="F10793" s="6"/>
      <c r="G10793" s="65"/>
      <c r="H10793" s="65"/>
    </row>
    <row r="10794" spans="1:8" s="61" customFormat="1" hidden="1">
      <c r="A10794" s="1"/>
      <c r="B10794" s="1"/>
      <c r="C10794" s="1"/>
      <c r="D10794" s="1"/>
      <c r="E10794" s="62"/>
      <c r="F10794" s="6"/>
      <c r="G10794" s="65"/>
      <c r="H10794" s="65"/>
    </row>
    <row r="10795" spans="1:8" s="61" customFormat="1" hidden="1">
      <c r="A10795" s="1"/>
      <c r="B10795" s="1"/>
      <c r="C10795" s="1"/>
      <c r="D10795" s="1"/>
      <c r="E10795" s="62"/>
      <c r="F10795" s="6"/>
      <c r="G10795" s="65"/>
      <c r="H10795" s="65"/>
    </row>
    <row r="10796" spans="1:8" s="61" customFormat="1" hidden="1">
      <c r="A10796" s="1"/>
      <c r="B10796" s="1"/>
      <c r="C10796" s="1"/>
      <c r="D10796" s="1"/>
      <c r="E10796" s="62"/>
      <c r="F10796" s="6"/>
      <c r="G10796" s="65"/>
      <c r="H10796" s="65"/>
    </row>
    <row r="10797" spans="1:8" s="61" customFormat="1" hidden="1">
      <c r="A10797" s="1"/>
      <c r="B10797" s="1"/>
      <c r="C10797" s="1"/>
      <c r="D10797" s="1"/>
      <c r="E10797" s="62"/>
      <c r="F10797" s="6"/>
      <c r="G10797" s="65"/>
      <c r="H10797" s="65"/>
    </row>
    <row r="10798" spans="1:8" s="61" customFormat="1" hidden="1">
      <c r="A10798" s="1"/>
      <c r="B10798" s="1"/>
      <c r="C10798" s="1"/>
      <c r="D10798" s="1"/>
      <c r="E10798" s="62"/>
      <c r="F10798" s="6"/>
      <c r="G10798" s="65"/>
      <c r="H10798" s="65"/>
    </row>
    <row r="10799" spans="1:8" s="61" customFormat="1" hidden="1">
      <c r="A10799" s="1"/>
      <c r="B10799" s="1"/>
      <c r="C10799" s="1"/>
      <c r="D10799" s="1"/>
      <c r="E10799" s="62"/>
      <c r="F10799" s="6"/>
      <c r="G10799" s="65"/>
      <c r="H10799" s="65"/>
    </row>
    <row r="10800" spans="1:8" s="61" customFormat="1" hidden="1">
      <c r="A10800" s="1"/>
      <c r="B10800" s="1"/>
      <c r="C10800" s="1"/>
      <c r="D10800" s="1"/>
      <c r="E10800" s="62"/>
      <c r="F10800" s="6"/>
      <c r="G10800" s="65"/>
      <c r="H10800" s="65"/>
    </row>
    <row r="10801" spans="1:8" s="61" customFormat="1" hidden="1">
      <c r="A10801" s="1"/>
      <c r="B10801" s="1"/>
      <c r="C10801" s="1"/>
      <c r="D10801" s="1"/>
      <c r="E10801" s="62"/>
      <c r="F10801" s="6"/>
      <c r="G10801" s="65"/>
      <c r="H10801" s="65"/>
    </row>
    <row r="10802" spans="1:8" s="61" customFormat="1" hidden="1">
      <c r="A10802" s="1"/>
      <c r="B10802" s="1"/>
      <c r="C10802" s="1"/>
      <c r="D10802" s="1"/>
      <c r="E10802" s="62"/>
      <c r="F10802" s="6"/>
      <c r="G10802" s="65"/>
      <c r="H10802" s="65"/>
    </row>
    <row r="10803" spans="1:8" s="61" customFormat="1" hidden="1">
      <c r="A10803" s="1"/>
      <c r="B10803" s="1"/>
      <c r="C10803" s="1"/>
      <c r="D10803" s="1"/>
      <c r="E10803" s="62"/>
      <c r="F10803" s="6"/>
      <c r="G10803" s="65"/>
      <c r="H10803" s="65"/>
    </row>
    <row r="10804" spans="1:8" s="61" customFormat="1" hidden="1">
      <c r="A10804" s="1"/>
      <c r="B10804" s="1"/>
      <c r="C10804" s="1"/>
      <c r="D10804" s="1"/>
      <c r="E10804" s="62"/>
      <c r="F10804" s="6"/>
      <c r="G10804" s="65"/>
      <c r="H10804" s="65"/>
    </row>
    <row r="10805" spans="1:8" s="61" customFormat="1" hidden="1">
      <c r="A10805" s="1"/>
      <c r="B10805" s="1"/>
      <c r="C10805" s="1"/>
      <c r="D10805" s="1"/>
      <c r="E10805" s="62"/>
      <c r="F10805" s="6"/>
      <c r="G10805" s="65"/>
      <c r="H10805" s="65"/>
    </row>
    <row r="10806" spans="1:8" s="61" customFormat="1" hidden="1">
      <c r="A10806" s="1"/>
      <c r="B10806" s="1"/>
      <c r="C10806" s="1"/>
      <c r="D10806" s="1"/>
      <c r="E10806" s="62"/>
      <c r="F10806" s="6"/>
      <c r="G10806" s="65"/>
      <c r="H10806" s="65"/>
    </row>
    <row r="10807" spans="1:8" s="61" customFormat="1" hidden="1">
      <c r="A10807" s="1"/>
      <c r="B10807" s="1"/>
      <c r="C10807" s="1"/>
      <c r="D10807" s="1"/>
      <c r="E10807" s="62"/>
      <c r="F10807" s="6"/>
      <c r="G10807" s="65"/>
      <c r="H10807" s="65"/>
    </row>
    <row r="10808" spans="1:8" s="61" customFormat="1" hidden="1">
      <c r="A10808" s="1"/>
      <c r="B10808" s="1"/>
      <c r="C10808" s="1"/>
      <c r="D10808" s="1"/>
      <c r="E10808" s="62"/>
      <c r="F10808" s="6"/>
      <c r="G10808" s="65"/>
      <c r="H10808" s="65"/>
    </row>
    <row r="10809" spans="1:8" s="61" customFormat="1" hidden="1">
      <c r="A10809" s="1"/>
      <c r="B10809" s="1"/>
      <c r="C10809" s="1"/>
      <c r="D10809" s="1"/>
      <c r="E10809" s="62"/>
      <c r="F10809" s="6"/>
      <c r="G10809" s="65"/>
      <c r="H10809" s="65"/>
    </row>
    <row r="10810" spans="1:8" s="61" customFormat="1" hidden="1">
      <c r="A10810" s="1"/>
      <c r="B10810" s="1"/>
      <c r="C10810" s="1"/>
      <c r="D10810" s="1"/>
      <c r="E10810" s="62"/>
      <c r="F10810" s="6"/>
      <c r="G10810" s="65"/>
      <c r="H10810" s="65"/>
    </row>
    <row r="10811" spans="1:8" s="61" customFormat="1" hidden="1">
      <c r="A10811" s="1"/>
      <c r="B10811" s="1"/>
      <c r="C10811" s="1"/>
      <c r="D10811" s="1"/>
      <c r="E10811" s="62"/>
      <c r="F10811" s="6"/>
      <c r="G10811" s="65"/>
      <c r="H10811" s="65"/>
    </row>
    <row r="10812" spans="1:8" s="61" customFormat="1" hidden="1">
      <c r="A10812" s="1"/>
      <c r="B10812" s="1"/>
      <c r="C10812" s="1"/>
      <c r="D10812" s="1"/>
      <c r="E10812" s="62"/>
      <c r="F10812" s="6"/>
      <c r="G10812" s="65"/>
      <c r="H10812" s="65"/>
    </row>
    <row r="10813" spans="1:8" s="61" customFormat="1" hidden="1">
      <c r="A10813" s="1"/>
      <c r="B10813" s="1"/>
      <c r="C10813" s="1"/>
      <c r="D10813" s="1"/>
      <c r="E10813" s="62"/>
      <c r="F10813" s="6"/>
      <c r="G10813" s="65"/>
      <c r="H10813" s="65"/>
    </row>
    <row r="10814" spans="1:8" s="61" customFormat="1" hidden="1">
      <c r="A10814" s="1"/>
      <c r="B10814" s="1"/>
      <c r="C10814" s="1"/>
      <c r="D10814" s="1"/>
      <c r="E10814" s="62"/>
      <c r="F10814" s="6"/>
      <c r="G10814" s="65"/>
      <c r="H10814" s="65"/>
    </row>
    <row r="10815" spans="1:8" s="61" customFormat="1" hidden="1">
      <c r="A10815" s="1"/>
      <c r="B10815" s="1"/>
      <c r="C10815" s="1"/>
      <c r="D10815" s="1"/>
      <c r="E10815" s="62"/>
      <c r="F10815" s="6"/>
      <c r="G10815" s="65"/>
      <c r="H10815" s="65"/>
    </row>
    <row r="10816" spans="1:8" s="61" customFormat="1" hidden="1">
      <c r="A10816" s="1"/>
      <c r="B10816" s="1"/>
      <c r="C10816" s="1"/>
      <c r="D10816" s="1"/>
      <c r="E10816" s="62"/>
      <c r="F10816" s="6"/>
      <c r="G10816" s="65"/>
      <c r="H10816" s="65"/>
    </row>
    <row r="10817" spans="1:8" s="61" customFormat="1" hidden="1">
      <c r="A10817" s="1"/>
      <c r="B10817" s="1"/>
      <c r="C10817" s="1"/>
      <c r="D10817" s="1"/>
      <c r="E10817" s="62"/>
      <c r="F10817" s="6"/>
      <c r="G10817" s="65"/>
      <c r="H10817" s="65"/>
    </row>
    <row r="10818" spans="1:8" s="61" customFormat="1" hidden="1">
      <c r="A10818" s="1"/>
      <c r="B10818" s="1"/>
      <c r="C10818" s="1"/>
      <c r="D10818" s="1"/>
      <c r="E10818" s="62"/>
      <c r="F10818" s="6"/>
      <c r="G10818" s="65"/>
      <c r="H10818" s="65"/>
    </row>
    <row r="10819" spans="1:8" s="61" customFormat="1" hidden="1">
      <c r="A10819" s="1"/>
      <c r="B10819" s="1"/>
      <c r="C10819" s="1"/>
      <c r="D10819" s="1"/>
      <c r="E10819" s="62"/>
      <c r="F10819" s="6"/>
      <c r="G10819" s="65"/>
      <c r="H10819" s="65"/>
    </row>
    <row r="10820" spans="1:8" s="61" customFormat="1" hidden="1">
      <c r="A10820" s="1"/>
      <c r="B10820" s="1"/>
      <c r="C10820" s="1"/>
      <c r="D10820" s="1"/>
      <c r="E10820" s="62"/>
      <c r="F10820" s="6"/>
      <c r="G10820" s="65"/>
      <c r="H10820" s="65"/>
    </row>
    <row r="10821" spans="1:8" s="61" customFormat="1" hidden="1">
      <c r="A10821" s="1"/>
      <c r="B10821" s="1"/>
      <c r="C10821" s="1"/>
      <c r="D10821" s="1"/>
      <c r="E10821" s="62"/>
      <c r="F10821" s="6"/>
      <c r="G10821" s="65"/>
      <c r="H10821" s="65"/>
    </row>
    <row r="10822" spans="1:8" s="61" customFormat="1" hidden="1">
      <c r="A10822" s="1"/>
      <c r="B10822" s="1"/>
      <c r="C10822" s="1"/>
      <c r="D10822" s="1"/>
      <c r="E10822" s="62"/>
      <c r="F10822" s="6"/>
      <c r="G10822" s="65"/>
      <c r="H10822" s="65"/>
    </row>
    <row r="10823" spans="1:8" s="61" customFormat="1" hidden="1">
      <c r="A10823" s="1"/>
      <c r="B10823" s="1"/>
      <c r="C10823" s="1"/>
      <c r="D10823" s="1"/>
      <c r="E10823" s="62"/>
      <c r="F10823" s="6"/>
      <c r="G10823" s="65"/>
      <c r="H10823" s="65"/>
    </row>
    <row r="10824" spans="1:8" s="61" customFormat="1" hidden="1">
      <c r="A10824" s="1"/>
      <c r="B10824" s="1"/>
      <c r="C10824" s="1"/>
      <c r="D10824" s="1"/>
      <c r="E10824" s="62"/>
      <c r="F10824" s="6"/>
      <c r="G10824" s="65"/>
      <c r="H10824" s="65"/>
    </row>
    <row r="10825" spans="1:8" s="61" customFormat="1" hidden="1">
      <c r="A10825" s="1"/>
      <c r="B10825" s="1"/>
      <c r="C10825" s="1"/>
      <c r="D10825" s="1"/>
      <c r="E10825" s="62"/>
      <c r="F10825" s="6"/>
      <c r="G10825" s="65"/>
      <c r="H10825" s="65"/>
    </row>
    <row r="10826" spans="1:8" s="61" customFormat="1" hidden="1">
      <c r="A10826" s="1"/>
      <c r="B10826" s="1"/>
      <c r="C10826" s="1"/>
      <c r="D10826" s="1"/>
      <c r="E10826" s="62"/>
      <c r="F10826" s="6"/>
      <c r="G10826" s="65"/>
      <c r="H10826" s="65"/>
    </row>
    <row r="10827" spans="1:8" s="61" customFormat="1" hidden="1">
      <c r="A10827" s="1"/>
      <c r="B10827" s="1"/>
      <c r="C10827" s="1"/>
      <c r="D10827" s="1"/>
      <c r="E10827" s="62"/>
      <c r="F10827" s="6"/>
      <c r="G10827" s="65"/>
      <c r="H10827" s="65"/>
    </row>
    <row r="10828" spans="1:8" s="61" customFormat="1" hidden="1">
      <c r="A10828" s="1"/>
      <c r="B10828" s="1"/>
      <c r="C10828" s="1"/>
      <c r="D10828" s="1"/>
      <c r="E10828" s="62"/>
      <c r="F10828" s="6"/>
      <c r="G10828" s="65"/>
      <c r="H10828" s="65"/>
    </row>
    <row r="10829" spans="1:8" s="61" customFormat="1" hidden="1">
      <c r="A10829" s="1"/>
      <c r="B10829" s="1"/>
      <c r="C10829" s="1"/>
      <c r="D10829" s="1"/>
      <c r="E10829" s="62"/>
      <c r="F10829" s="6"/>
      <c r="G10829" s="65"/>
      <c r="H10829" s="65"/>
    </row>
    <row r="10830" spans="1:8" s="61" customFormat="1" hidden="1">
      <c r="A10830" s="1"/>
      <c r="B10830" s="1"/>
      <c r="C10830" s="1"/>
      <c r="D10830" s="1"/>
      <c r="E10830" s="62"/>
      <c r="F10830" s="6"/>
      <c r="G10830" s="65"/>
      <c r="H10830" s="65"/>
    </row>
    <row r="10831" spans="1:8" s="61" customFormat="1" hidden="1">
      <c r="A10831" s="1"/>
      <c r="B10831" s="1"/>
      <c r="C10831" s="1"/>
      <c r="D10831" s="1"/>
      <c r="E10831" s="62"/>
      <c r="F10831" s="6"/>
      <c r="G10831" s="65"/>
      <c r="H10831" s="65"/>
    </row>
    <row r="10832" spans="1:8" s="61" customFormat="1" hidden="1">
      <c r="A10832" s="1"/>
      <c r="B10832" s="1"/>
      <c r="C10832" s="1"/>
      <c r="D10832" s="1"/>
      <c r="E10832" s="62"/>
      <c r="F10832" s="6"/>
      <c r="G10832" s="65"/>
      <c r="H10832" s="65"/>
    </row>
    <row r="10833" spans="1:8" s="61" customFormat="1" hidden="1">
      <c r="A10833" s="1"/>
      <c r="B10833" s="1"/>
      <c r="C10833" s="1"/>
      <c r="D10833" s="1"/>
      <c r="E10833" s="62"/>
      <c r="F10833" s="6"/>
      <c r="G10833" s="65"/>
      <c r="H10833" s="65"/>
    </row>
    <row r="10834" spans="1:8" s="61" customFormat="1" hidden="1">
      <c r="A10834" s="1"/>
      <c r="B10834" s="1"/>
      <c r="C10834" s="1"/>
      <c r="D10834" s="1"/>
      <c r="E10834" s="62"/>
      <c r="F10834" s="6"/>
      <c r="G10834" s="65"/>
      <c r="H10834" s="65"/>
    </row>
    <row r="10835" spans="1:8" s="61" customFormat="1" hidden="1">
      <c r="A10835" s="1"/>
      <c r="B10835" s="1"/>
      <c r="C10835" s="1"/>
      <c r="D10835" s="1"/>
      <c r="E10835" s="62"/>
      <c r="F10835" s="6"/>
      <c r="G10835" s="65"/>
      <c r="H10835" s="65"/>
    </row>
    <row r="10836" spans="1:8" s="61" customFormat="1" hidden="1">
      <c r="A10836" s="1"/>
      <c r="B10836" s="1"/>
      <c r="C10836" s="1"/>
      <c r="D10836" s="1"/>
      <c r="E10836" s="62"/>
      <c r="F10836" s="6"/>
      <c r="G10836" s="65"/>
      <c r="H10836" s="65"/>
    </row>
    <row r="10837" spans="1:8" s="61" customFormat="1" hidden="1">
      <c r="A10837" s="1"/>
      <c r="B10837" s="1"/>
      <c r="C10837" s="1"/>
      <c r="D10837" s="1"/>
      <c r="E10837" s="62"/>
      <c r="F10837" s="6"/>
      <c r="G10837" s="65"/>
      <c r="H10837" s="65"/>
    </row>
    <row r="10838" spans="1:8" s="61" customFormat="1" hidden="1">
      <c r="A10838" s="1"/>
      <c r="B10838" s="1"/>
      <c r="C10838" s="1"/>
      <c r="D10838" s="1"/>
      <c r="E10838" s="62"/>
      <c r="F10838" s="6"/>
      <c r="G10838" s="65"/>
      <c r="H10838" s="65"/>
    </row>
    <row r="10839" spans="1:8" s="61" customFormat="1" hidden="1">
      <c r="A10839" s="1"/>
      <c r="B10839" s="1"/>
      <c r="C10839" s="1"/>
      <c r="D10839" s="1"/>
      <c r="E10839" s="62"/>
      <c r="F10839" s="6"/>
      <c r="G10839" s="65"/>
      <c r="H10839" s="65"/>
    </row>
    <row r="10840" spans="1:8" s="61" customFormat="1" hidden="1">
      <c r="A10840" s="1"/>
      <c r="B10840" s="1"/>
      <c r="C10840" s="1"/>
      <c r="D10840" s="1"/>
      <c r="E10840" s="62"/>
      <c r="F10840" s="6"/>
      <c r="G10840" s="65"/>
      <c r="H10840" s="65"/>
    </row>
    <row r="10841" spans="1:8" s="61" customFormat="1" hidden="1">
      <c r="A10841" s="1"/>
      <c r="B10841" s="1"/>
      <c r="C10841" s="1"/>
      <c r="D10841" s="1"/>
      <c r="E10841" s="62"/>
      <c r="F10841" s="6"/>
      <c r="G10841" s="65"/>
      <c r="H10841" s="65"/>
    </row>
    <row r="10842" spans="1:8" s="61" customFormat="1" hidden="1">
      <c r="A10842" s="1"/>
      <c r="B10842" s="1"/>
      <c r="C10842" s="1"/>
      <c r="D10842" s="1"/>
      <c r="E10842" s="62"/>
      <c r="F10842" s="6"/>
      <c r="G10842" s="65"/>
      <c r="H10842" s="65"/>
    </row>
    <row r="10843" spans="1:8" s="61" customFormat="1" hidden="1">
      <c r="A10843" s="1"/>
      <c r="B10843" s="1"/>
      <c r="C10843" s="1"/>
      <c r="D10843" s="1"/>
      <c r="E10843" s="62"/>
      <c r="F10843" s="6"/>
      <c r="G10843" s="65"/>
      <c r="H10843" s="65"/>
    </row>
    <row r="10844" spans="1:8" s="61" customFormat="1" hidden="1">
      <c r="A10844" s="1"/>
      <c r="B10844" s="1"/>
      <c r="C10844" s="1"/>
      <c r="D10844" s="1"/>
      <c r="E10844" s="62"/>
      <c r="F10844" s="6"/>
      <c r="G10844" s="65"/>
      <c r="H10844" s="65"/>
    </row>
    <row r="10845" spans="1:8" s="61" customFormat="1" hidden="1">
      <c r="A10845" s="1"/>
      <c r="B10845" s="1"/>
      <c r="C10845" s="1"/>
      <c r="D10845" s="1"/>
      <c r="E10845" s="62"/>
      <c r="F10845" s="6"/>
      <c r="G10845" s="65"/>
      <c r="H10845" s="65"/>
    </row>
    <row r="10846" spans="1:8" s="61" customFormat="1" hidden="1">
      <c r="A10846" s="1"/>
      <c r="B10846" s="1"/>
      <c r="C10846" s="1"/>
      <c r="D10846" s="1"/>
      <c r="E10846" s="62"/>
      <c r="F10846" s="6"/>
      <c r="G10846" s="65"/>
      <c r="H10846" s="65"/>
    </row>
    <row r="10847" spans="1:8" s="61" customFormat="1" hidden="1">
      <c r="A10847" s="1"/>
      <c r="B10847" s="1"/>
      <c r="C10847" s="1"/>
      <c r="D10847" s="1"/>
      <c r="E10847" s="62"/>
      <c r="F10847" s="6"/>
      <c r="G10847" s="65"/>
      <c r="H10847" s="65"/>
    </row>
    <row r="10848" spans="1:8" s="61" customFormat="1" hidden="1">
      <c r="A10848" s="1"/>
      <c r="B10848" s="1"/>
      <c r="C10848" s="1"/>
      <c r="D10848" s="1"/>
      <c r="E10848" s="62"/>
      <c r="F10848" s="6"/>
      <c r="G10848" s="65"/>
      <c r="H10848" s="65"/>
    </row>
    <row r="10849" spans="1:8" s="61" customFormat="1" hidden="1">
      <c r="A10849" s="1"/>
      <c r="B10849" s="1"/>
      <c r="C10849" s="1"/>
      <c r="D10849" s="1"/>
      <c r="E10849" s="62"/>
      <c r="F10849" s="6"/>
      <c r="G10849" s="65"/>
      <c r="H10849" s="65"/>
    </row>
    <row r="10850" spans="1:8" s="61" customFormat="1" hidden="1">
      <c r="A10850" s="1"/>
      <c r="B10850" s="1"/>
      <c r="C10850" s="1"/>
      <c r="D10850" s="1"/>
      <c r="E10850" s="62"/>
      <c r="F10850" s="6"/>
      <c r="G10850" s="65"/>
      <c r="H10850" s="65"/>
    </row>
    <row r="10851" spans="1:8" s="61" customFormat="1" hidden="1">
      <c r="A10851" s="1"/>
      <c r="B10851" s="1"/>
      <c r="C10851" s="1"/>
      <c r="D10851" s="1"/>
      <c r="E10851" s="62"/>
      <c r="F10851" s="6"/>
      <c r="G10851" s="65"/>
      <c r="H10851" s="65"/>
    </row>
    <row r="10852" spans="1:8" s="61" customFormat="1" hidden="1">
      <c r="A10852" s="1"/>
      <c r="B10852" s="1"/>
      <c r="C10852" s="1"/>
      <c r="D10852" s="1"/>
      <c r="E10852" s="62"/>
      <c r="F10852" s="6"/>
      <c r="G10852" s="65"/>
      <c r="H10852" s="65"/>
    </row>
    <row r="10853" spans="1:8" s="61" customFormat="1" hidden="1">
      <c r="A10853" s="1"/>
      <c r="B10853" s="1"/>
      <c r="C10853" s="1"/>
      <c r="D10853" s="1"/>
      <c r="E10853" s="62"/>
      <c r="F10853" s="6"/>
      <c r="G10853" s="65"/>
      <c r="H10853" s="65"/>
    </row>
    <row r="10854" spans="1:8" s="61" customFormat="1" hidden="1">
      <c r="A10854" s="1"/>
      <c r="B10854" s="1"/>
      <c r="C10854" s="1"/>
      <c r="D10854" s="1"/>
      <c r="E10854" s="62"/>
      <c r="F10854" s="6"/>
      <c r="G10854" s="65"/>
      <c r="H10854" s="65"/>
    </row>
    <row r="10855" spans="1:8" s="61" customFormat="1" hidden="1">
      <c r="A10855" s="1"/>
      <c r="B10855" s="1"/>
      <c r="C10855" s="1"/>
      <c r="D10855" s="1"/>
      <c r="E10855" s="62"/>
      <c r="F10855" s="6"/>
      <c r="G10855" s="65"/>
      <c r="H10855" s="65"/>
    </row>
    <row r="10856" spans="1:8" s="61" customFormat="1" hidden="1">
      <c r="A10856" s="1"/>
      <c r="B10856" s="1"/>
      <c r="C10856" s="1"/>
      <c r="D10856" s="1"/>
      <c r="E10856" s="62"/>
      <c r="F10856" s="6"/>
      <c r="G10856" s="65"/>
      <c r="H10856" s="65"/>
    </row>
    <row r="10857" spans="1:8" s="61" customFormat="1" hidden="1">
      <c r="A10857" s="1"/>
      <c r="B10857" s="1"/>
      <c r="C10857" s="1"/>
      <c r="D10857" s="1"/>
      <c r="E10857" s="62"/>
      <c r="F10857" s="6"/>
      <c r="G10857" s="65"/>
      <c r="H10857" s="65"/>
    </row>
    <row r="10858" spans="1:8" s="61" customFormat="1" hidden="1">
      <c r="A10858" s="1"/>
      <c r="B10858" s="1"/>
      <c r="C10858" s="1"/>
      <c r="D10858" s="1"/>
      <c r="E10858" s="62"/>
      <c r="F10858" s="6"/>
      <c r="G10858" s="65"/>
      <c r="H10858" s="65"/>
    </row>
    <row r="10859" spans="1:8" s="61" customFormat="1" hidden="1">
      <c r="A10859" s="1"/>
      <c r="B10859" s="1"/>
      <c r="C10859" s="1"/>
      <c r="D10859" s="1"/>
      <c r="E10859" s="62"/>
      <c r="F10859" s="6"/>
      <c r="G10859" s="65"/>
      <c r="H10859" s="65"/>
    </row>
    <row r="10860" spans="1:8" s="61" customFormat="1" hidden="1">
      <c r="A10860" s="1"/>
      <c r="B10860" s="1"/>
      <c r="C10860" s="1"/>
      <c r="D10860" s="1"/>
      <c r="E10860" s="62"/>
      <c r="F10860" s="6"/>
      <c r="G10860" s="65"/>
      <c r="H10860" s="65"/>
    </row>
    <row r="10861" spans="1:8" s="61" customFormat="1" hidden="1">
      <c r="A10861" s="1"/>
      <c r="B10861" s="1"/>
      <c r="C10861" s="1"/>
      <c r="D10861" s="1"/>
      <c r="E10861" s="62"/>
      <c r="F10861" s="6"/>
      <c r="G10861" s="65"/>
      <c r="H10861" s="65"/>
    </row>
    <row r="10862" spans="1:8" s="61" customFormat="1" hidden="1">
      <c r="A10862" s="1"/>
      <c r="B10862" s="1"/>
      <c r="C10862" s="1"/>
      <c r="D10862" s="1"/>
      <c r="E10862" s="62"/>
      <c r="F10862" s="6"/>
      <c r="G10862" s="65"/>
      <c r="H10862" s="65"/>
    </row>
    <row r="10863" spans="1:8" s="61" customFormat="1" hidden="1">
      <c r="A10863" s="1"/>
      <c r="B10863" s="1"/>
      <c r="C10863" s="1"/>
      <c r="D10863" s="1"/>
      <c r="E10863" s="62"/>
      <c r="F10863" s="6"/>
      <c r="G10863" s="65"/>
      <c r="H10863" s="65"/>
    </row>
    <row r="10864" spans="1:8" s="61" customFormat="1" hidden="1">
      <c r="A10864" s="1"/>
      <c r="B10864" s="1"/>
      <c r="C10864" s="1"/>
      <c r="D10864" s="1"/>
      <c r="E10864" s="62"/>
      <c r="F10864" s="6"/>
      <c r="G10864" s="65"/>
      <c r="H10864" s="65"/>
    </row>
    <row r="10865" spans="1:8" s="61" customFormat="1" hidden="1">
      <c r="A10865" s="1"/>
      <c r="B10865" s="1"/>
      <c r="C10865" s="1"/>
      <c r="D10865" s="1"/>
      <c r="E10865" s="62"/>
      <c r="F10865" s="6"/>
      <c r="G10865" s="65"/>
      <c r="H10865" s="65"/>
    </row>
    <row r="10866" spans="1:8" s="61" customFormat="1" hidden="1">
      <c r="A10866" s="1"/>
      <c r="B10866" s="1"/>
      <c r="C10866" s="1"/>
      <c r="D10866" s="1"/>
      <c r="E10866" s="62"/>
      <c r="F10866" s="6"/>
      <c r="G10866" s="65"/>
      <c r="H10866" s="65"/>
    </row>
    <row r="10867" spans="1:8" s="61" customFormat="1" hidden="1">
      <c r="A10867" s="1"/>
      <c r="B10867" s="1"/>
      <c r="C10867" s="1"/>
      <c r="D10867" s="1"/>
      <c r="E10867" s="62"/>
      <c r="F10867" s="6"/>
      <c r="G10867" s="65"/>
      <c r="H10867" s="65"/>
    </row>
    <row r="10868" spans="1:8" s="61" customFormat="1" hidden="1">
      <c r="A10868" s="1"/>
      <c r="B10868" s="1"/>
      <c r="C10868" s="1"/>
      <c r="D10868" s="1"/>
      <c r="E10868" s="62"/>
      <c r="F10868" s="6"/>
      <c r="G10868" s="65"/>
      <c r="H10868" s="65"/>
    </row>
    <row r="10869" spans="1:8" s="61" customFormat="1" hidden="1">
      <c r="A10869" s="1"/>
      <c r="B10869" s="1"/>
      <c r="C10869" s="1"/>
      <c r="D10869" s="1"/>
      <c r="E10869" s="62"/>
      <c r="F10869" s="6"/>
      <c r="G10869" s="65"/>
      <c r="H10869" s="65"/>
    </row>
    <row r="10870" spans="1:8" s="61" customFormat="1" hidden="1">
      <c r="A10870" s="1"/>
      <c r="B10870" s="1"/>
      <c r="C10870" s="1"/>
      <c r="D10870" s="1"/>
      <c r="E10870" s="62"/>
      <c r="F10870" s="6"/>
      <c r="G10870" s="65"/>
      <c r="H10870" s="65"/>
    </row>
    <row r="10871" spans="1:8" s="61" customFormat="1" hidden="1">
      <c r="A10871" s="1"/>
      <c r="B10871" s="1"/>
      <c r="C10871" s="1"/>
      <c r="D10871" s="1"/>
      <c r="E10871" s="62"/>
      <c r="F10871" s="6"/>
      <c r="G10871" s="65"/>
      <c r="H10871" s="65"/>
    </row>
    <row r="10872" spans="1:8" s="61" customFormat="1" hidden="1">
      <c r="A10872" s="1"/>
      <c r="B10872" s="1"/>
      <c r="C10872" s="1"/>
      <c r="D10872" s="1"/>
      <c r="E10872" s="62"/>
      <c r="F10872" s="6"/>
      <c r="G10872" s="65"/>
      <c r="H10872" s="65"/>
    </row>
    <row r="10873" spans="1:8" s="61" customFormat="1" hidden="1">
      <c r="A10873" s="1"/>
      <c r="B10873" s="1"/>
      <c r="C10873" s="1"/>
      <c r="D10873" s="1"/>
      <c r="E10873" s="62"/>
      <c r="F10873" s="6"/>
      <c r="G10873" s="65"/>
      <c r="H10873" s="65"/>
    </row>
    <row r="10874" spans="1:8" s="61" customFormat="1" hidden="1">
      <c r="A10874" s="1"/>
      <c r="B10874" s="1"/>
      <c r="C10874" s="1"/>
      <c r="D10874" s="1"/>
      <c r="E10874" s="62"/>
      <c r="F10874" s="6"/>
      <c r="G10874" s="65"/>
      <c r="H10874" s="65"/>
    </row>
    <row r="10875" spans="1:8" s="61" customFormat="1" hidden="1">
      <c r="A10875" s="1"/>
      <c r="B10875" s="1"/>
      <c r="C10875" s="1"/>
      <c r="D10875" s="1"/>
      <c r="E10875" s="62"/>
      <c r="F10875" s="6"/>
      <c r="G10875" s="65"/>
      <c r="H10875" s="65"/>
    </row>
    <row r="10876" spans="1:8" s="61" customFormat="1" hidden="1">
      <c r="A10876" s="1"/>
      <c r="B10876" s="1"/>
      <c r="C10876" s="1"/>
      <c r="D10876" s="1"/>
      <c r="E10876" s="62"/>
      <c r="F10876" s="6"/>
      <c r="G10876" s="65"/>
      <c r="H10876" s="65"/>
    </row>
    <row r="10877" spans="1:8" s="61" customFormat="1" hidden="1">
      <c r="A10877" s="1"/>
      <c r="B10877" s="1"/>
      <c r="C10877" s="1"/>
      <c r="D10877" s="1"/>
      <c r="E10877" s="62"/>
      <c r="F10877" s="6"/>
      <c r="G10877" s="65"/>
      <c r="H10877" s="65"/>
    </row>
    <row r="10878" spans="1:8" s="61" customFormat="1" hidden="1">
      <c r="A10878" s="1"/>
      <c r="B10878" s="1"/>
      <c r="C10878" s="1"/>
      <c r="D10878" s="1"/>
      <c r="E10878" s="62"/>
      <c r="F10878" s="6"/>
      <c r="G10878" s="65"/>
      <c r="H10878" s="65"/>
    </row>
    <row r="10879" spans="1:8" s="61" customFormat="1" hidden="1">
      <c r="A10879" s="1"/>
      <c r="B10879" s="1"/>
      <c r="C10879" s="1"/>
      <c r="D10879" s="1"/>
      <c r="E10879" s="62"/>
      <c r="F10879" s="6"/>
      <c r="G10879" s="65"/>
      <c r="H10879" s="65"/>
    </row>
    <row r="10880" spans="1:8" s="61" customFormat="1" hidden="1">
      <c r="A10880" s="1"/>
      <c r="B10880" s="1"/>
      <c r="C10880" s="1"/>
      <c r="D10880" s="1"/>
      <c r="E10880" s="62"/>
      <c r="F10880" s="6"/>
      <c r="G10880" s="65"/>
      <c r="H10880" s="65"/>
    </row>
    <row r="10881" spans="1:8" s="61" customFormat="1" hidden="1">
      <c r="A10881" s="1"/>
      <c r="B10881" s="1"/>
      <c r="C10881" s="1"/>
      <c r="D10881" s="1"/>
      <c r="E10881" s="62"/>
      <c r="F10881" s="6"/>
      <c r="G10881" s="65"/>
      <c r="H10881" s="65"/>
    </row>
    <row r="10882" spans="1:8" s="61" customFormat="1" hidden="1">
      <c r="A10882" s="1"/>
      <c r="B10882" s="1"/>
      <c r="C10882" s="1"/>
      <c r="D10882" s="1"/>
      <c r="E10882" s="62"/>
      <c r="F10882" s="6"/>
      <c r="G10882" s="65"/>
      <c r="H10882" s="65"/>
    </row>
    <row r="10883" spans="1:8" s="61" customFormat="1" hidden="1">
      <c r="A10883" s="1"/>
      <c r="B10883" s="1"/>
      <c r="C10883" s="1"/>
      <c r="D10883" s="1"/>
      <c r="E10883" s="62"/>
      <c r="F10883" s="6"/>
      <c r="G10883" s="65"/>
      <c r="H10883" s="65"/>
    </row>
    <row r="10884" spans="1:8" s="61" customFormat="1" hidden="1">
      <c r="A10884" s="1"/>
      <c r="B10884" s="1"/>
      <c r="C10884" s="1"/>
      <c r="D10884" s="1"/>
      <c r="E10884" s="62"/>
      <c r="F10884" s="6"/>
      <c r="G10884" s="65"/>
      <c r="H10884" s="65"/>
    </row>
    <row r="10885" spans="1:8" s="61" customFormat="1" hidden="1">
      <c r="A10885" s="1"/>
      <c r="B10885" s="1"/>
      <c r="C10885" s="1"/>
      <c r="D10885" s="1"/>
      <c r="E10885" s="62"/>
      <c r="F10885" s="6"/>
      <c r="G10885" s="65"/>
      <c r="H10885" s="65"/>
    </row>
    <row r="10886" spans="1:8" s="61" customFormat="1" hidden="1">
      <c r="A10886" s="1"/>
      <c r="B10886" s="1"/>
      <c r="C10886" s="1"/>
      <c r="D10886" s="1"/>
      <c r="E10886" s="62"/>
      <c r="F10886" s="6"/>
      <c r="G10886" s="65"/>
      <c r="H10886" s="65"/>
    </row>
    <row r="10887" spans="1:8" s="61" customFormat="1" hidden="1">
      <c r="A10887" s="1"/>
      <c r="B10887" s="1"/>
      <c r="C10887" s="1"/>
      <c r="D10887" s="1"/>
      <c r="E10887" s="62"/>
      <c r="F10887" s="6"/>
      <c r="G10887" s="65"/>
      <c r="H10887" s="65"/>
    </row>
    <row r="10888" spans="1:8" s="61" customFormat="1" hidden="1">
      <c r="A10888" s="1"/>
      <c r="B10888" s="1"/>
      <c r="C10888" s="1"/>
      <c r="D10888" s="1"/>
      <c r="E10888" s="62"/>
      <c r="F10888" s="6"/>
      <c r="G10888" s="65"/>
      <c r="H10888" s="65"/>
    </row>
    <row r="10889" spans="1:8" s="61" customFormat="1" hidden="1">
      <c r="A10889" s="1"/>
      <c r="B10889" s="1"/>
      <c r="C10889" s="1"/>
      <c r="D10889" s="1"/>
      <c r="E10889" s="62"/>
      <c r="F10889" s="6"/>
      <c r="G10889" s="65"/>
      <c r="H10889" s="65"/>
    </row>
    <row r="10890" spans="1:8" s="61" customFormat="1" hidden="1">
      <c r="A10890" s="1"/>
      <c r="B10890" s="1"/>
      <c r="C10890" s="1"/>
      <c r="D10890" s="1"/>
      <c r="E10890" s="62"/>
      <c r="F10890" s="6"/>
      <c r="G10890" s="65"/>
      <c r="H10890" s="65"/>
    </row>
    <row r="10891" spans="1:8" s="61" customFormat="1" hidden="1">
      <c r="A10891" s="1"/>
      <c r="B10891" s="1"/>
      <c r="C10891" s="1"/>
      <c r="D10891" s="1"/>
      <c r="E10891" s="62"/>
      <c r="F10891" s="6"/>
      <c r="G10891" s="65"/>
      <c r="H10891" s="65"/>
    </row>
    <row r="10892" spans="1:8" s="61" customFormat="1" hidden="1">
      <c r="A10892" s="1"/>
      <c r="B10892" s="1"/>
      <c r="C10892" s="1"/>
      <c r="D10892" s="1"/>
      <c r="E10892" s="62"/>
      <c r="F10892" s="6"/>
      <c r="G10892" s="65"/>
      <c r="H10892" s="65"/>
    </row>
    <row r="10893" spans="1:8" s="61" customFormat="1" hidden="1">
      <c r="A10893" s="1"/>
      <c r="B10893" s="1"/>
      <c r="C10893" s="1"/>
      <c r="D10893" s="1"/>
      <c r="E10893" s="62"/>
      <c r="F10893" s="6"/>
      <c r="G10893" s="65"/>
      <c r="H10893" s="65"/>
    </row>
    <row r="10894" spans="1:8" s="61" customFormat="1" hidden="1">
      <c r="A10894" s="1"/>
      <c r="B10894" s="1"/>
      <c r="C10894" s="1"/>
      <c r="D10894" s="1"/>
      <c r="E10894" s="62"/>
      <c r="F10894" s="6"/>
      <c r="G10894" s="65"/>
      <c r="H10894" s="65"/>
    </row>
    <row r="10895" spans="1:8" s="61" customFormat="1" hidden="1">
      <c r="A10895" s="1"/>
      <c r="B10895" s="1"/>
      <c r="C10895" s="1"/>
      <c r="D10895" s="1"/>
      <c r="E10895" s="62"/>
      <c r="F10895" s="6"/>
      <c r="G10895" s="65"/>
      <c r="H10895" s="65"/>
    </row>
    <row r="10896" spans="1:8" s="61" customFormat="1" hidden="1">
      <c r="A10896" s="1"/>
      <c r="B10896" s="1"/>
      <c r="C10896" s="1"/>
      <c r="D10896" s="1"/>
      <c r="E10896" s="62"/>
      <c r="F10896" s="6"/>
      <c r="G10896" s="65"/>
      <c r="H10896" s="65"/>
    </row>
    <row r="10897" spans="1:8" s="61" customFormat="1" hidden="1">
      <c r="A10897" s="1"/>
      <c r="B10897" s="1"/>
      <c r="C10897" s="1"/>
      <c r="D10897" s="1"/>
      <c r="E10897" s="62"/>
      <c r="F10897" s="6"/>
      <c r="G10897" s="65"/>
      <c r="H10897" s="65"/>
    </row>
    <row r="10898" spans="1:8" s="61" customFormat="1" hidden="1">
      <c r="A10898" s="1"/>
      <c r="B10898" s="1"/>
      <c r="C10898" s="1"/>
      <c r="D10898" s="1"/>
      <c r="E10898" s="62"/>
      <c r="F10898" s="6"/>
      <c r="G10898" s="65"/>
      <c r="H10898" s="65"/>
    </row>
    <row r="10899" spans="1:8" s="61" customFormat="1" hidden="1">
      <c r="A10899" s="1"/>
      <c r="B10899" s="1"/>
      <c r="C10899" s="1"/>
      <c r="D10899" s="1"/>
      <c r="E10899" s="62"/>
      <c r="F10899" s="6"/>
      <c r="G10899" s="65"/>
      <c r="H10899" s="65"/>
    </row>
    <row r="10900" spans="1:8" s="61" customFormat="1" hidden="1">
      <c r="A10900" s="1"/>
      <c r="B10900" s="1"/>
      <c r="C10900" s="1"/>
      <c r="D10900" s="1"/>
      <c r="E10900" s="62"/>
      <c r="F10900" s="6"/>
      <c r="G10900" s="65"/>
      <c r="H10900" s="65"/>
    </row>
    <row r="10901" spans="1:8" s="61" customFormat="1" hidden="1">
      <c r="A10901" s="1"/>
      <c r="B10901" s="1"/>
      <c r="C10901" s="1"/>
      <c r="D10901" s="1"/>
      <c r="E10901" s="62"/>
      <c r="F10901" s="6"/>
      <c r="G10901" s="65"/>
      <c r="H10901" s="65"/>
    </row>
    <row r="10902" spans="1:8" s="61" customFormat="1" hidden="1">
      <c r="A10902" s="1"/>
      <c r="B10902" s="1"/>
      <c r="C10902" s="1"/>
      <c r="D10902" s="1"/>
      <c r="E10902" s="62"/>
      <c r="F10902" s="6"/>
      <c r="G10902" s="65"/>
      <c r="H10902" s="65"/>
    </row>
    <row r="10903" spans="1:8" s="61" customFormat="1" hidden="1">
      <c r="A10903" s="1"/>
      <c r="B10903" s="1"/>
      <c r="C10903" s="1"/>
      <c r="D10903" s="1"/>
      <c r="E10903" s="62"/>
      <c r="F10903" s="6"/>
      <c r="G10903" s="65"/>
      <c r="H10903" s="65"/>
    </row>
    <row r="10904" spans="1:8" s="61" customFormat="1" hidden="1">
      <c r="A10904" s="1"/>
      <c r="B10904" s="1"/>
      <c r="C10904" s="1"/>
      <c r="D10904" s="1"/>
      <c r="E10904" s="62"/>
      <c r="F10904" s="6"/>
      <c r="G10904" s="65"/>
      <c r="H10904" s="65"/>
    </row>
    <row r="10905" spans="1:8" s="61" customFormat="1" hidden="1">
      <c r="A10905" s="1"/>
      <c r="B10905" s="1"/>
      <c r="C10905" s="1"/>
      <c r="D10905" s="1"/>
      <c r="E10905" s="62"/>
      <c r="F10905" s="6"/>
      <c r="G10905" s="65"/>
      <c r="H10905" s="65"/>
    </row>
    <row r="10906" spans="1:8" s="61" customFormat="1" hidden="1">
      <c r="A10906" s="1"/>
      <c r="B10906" s="1"/>
      <c r="C10906" s="1"/>
      <c r="D10906" s="1"/>
      <c r="E10906" s="62"/>
      <c r="F10906" s="6"/>
      <c r="G10906" s="65"/>
      <c r="H10906" s="65"/>
    </row>
    <row r="10907" spans="1:8" s="61" customFormat="1" hidden="1">
      <c r="A10907" s="1"/>
      <c r="B10907" s="1"/>
      <c r="C10907" s="1"/>
      <c r="D10907" s="1"/>
      <c r="E10907" s="62"/>
      <c r="F10907" s="6"/>
      <c r="G10907" s="65"/>
      <c r="H10907" s="65"/>
    </row>
    <row r="10908" spans="1:8" s="61" customFormat="1" hidden="1">
      <c r="A10908" s="1"/>
      <c r="B10908" s="1"/>
      <c r="C10908" s="1"/>
      <c r="D10908" s="1"/>
      <c r="E10908" s="62"/>
      <c r="F10908" s="6"/>
      <c r="G10908" s="65"/>
      <c r="H10908" s="65"/>
    </row>
    <row r="10909" spans="1:8" s="61" customFormat="1" hidden="1">
      <c r="A10909" s="1"/>
      <c r="B10909" s="1"/>
      <c r="C10909" s="1"/>
      <c r="D10909" s="1"/>
      <c r="E10909" s="62"/>
      <c r="F10909" s="6"/>
      <c r="G10909" s="65"/>
      <c r="H10909" s="65"/>
    </row>
    <row r="10910" spans="1:8" s="61" customFormat="1" hidden="1">
      <c r="A10910" s="1"/>
      <c r="B10910" s="1"/>
      <c r="C10910" s="1"/>
      <c r="D10910" s="1"/>
      <c r="E10910" s="62"/>
      <c r="F10910" s="6"/>
      <c r="G10910" s="65"/>
      <c r="H10910" s="65"/>
    </row>
    <row r="10911" spans="1:8" s="61" customFormat="1" hidden="1">
      <c r="A10911" s="1"/>
      <c r="B10911" s="1"/>
      <c r="C10911" s="1"/>
      <c r="D10911" s="1"/>
      <c r="E10911" s="62"/>
      <c r="F10911" s="6"/>
      <c r="G10911" s="65"/>
      <c r="H10911" s="65"/>
    </row>
    <row r="10912" spans="1:8" s="61" customFormat="1" hidden="1">
      <c r="A10912" s="1"/>
      <c r="B10912" s="1"/>
      <c r="C10912" s="1"/>
      <c r="D10912" s="1"/>
      <c r="E10912" s="62"/>
      <c r="F10912" s="6"/>
      <c r="G10912" s="65"/>
      <c r="H10912" s="65"/>
    </row>
    <row r="10913" spans="1:8" s="61" customFormat="1" hidden="1">
      <c r="A10913" s="1"/>
      <c r="B10913" s="1"/>
      <c r="C10913" s="1"/>
      <c r="D10913" s="1"/>
      <c r="E10913" s="62"/>
      <c r="F10913" s="6"/>
      <c r="G10913" s="65"/>
      <c r="H10913" s="65"/>
    </row>
    <row r="10914" spans="1:8" s="61" customFormat="1" hidden="1">
      <c r="A10914" s="1"/>
      <c r="B10914" s="1"/>
      <c r="C10914" s="1"/>
      <c r="D10914" s="1"/>
      <c r="E10914" s="62"/>
      <c r="F10914" s="6"/>
      <c r="G10914" s="65"/>
      <c r="H10914" s="65"/>
    </row>
    <row r="10915" spans="1:8" s="61" customFormat="1" hidden="1">
      <c r="A10915" s="1"/>
      <c r="B10915" s="1"/>
      <c r="C10915" s="1"/>
      <c r="D10915" s="1"/>
      <c r="E10915" s="62"/>
      <c r="F10915" s="6"/>
      <c r="G10915" s="65"/>
      <c r="H10915" s="65"/>
    </row>
    <row r="10916" spans="1:8" s="61" customFormat="1" hidden="1">
      <c r="A10916" s="1"/>
      <c r="B10916" s="1"/>
      <c r="C10916" s="1"/>
      <c r="D10916" s="1"/>
      <c r="E10916" s="62"/>
      <c r="F10916" s="6"/>
      <c r="G10916" s="65"/>
      <c r="H10916" s="65"/>
    </row>
    <row r="10917" spans="1:8" s="61" customFormat="1" hidden="1">
      <c r="A10917" s="1"/>
      <c r="B10917" s="1"/>
      <c r="C10917" s="1"/>
      <c r="D10917" s="1"/>
      <c r="E10917" s="62"/>
      <c r="F10917" s="6"/>
      <c r="G10917" s="65"/>
      <c r="H10917" s="65"/>
    </row>
    <row r="10918" spans="1:8" s="61" customFormat="1" hidden="1">
      <c r="A10918" s="1"/>
      <c r="B10918" s="1"/>
      <c r="C10918" s="1"/>
      <c r="D10918" s="1"/>
      <c r="E10918" s="62"/>
      <c r="F10918" s="6"/>
      <c r="G10918" s="65"/>
      <c r="H10918" s="65"/>
    </row>
    <row r="10919" spans="1:8" s="61" customFormat="1" hidden="1">
      <c r="A10919" s="1"/>
      <c r="B10919" s="1"/>
      <c r="C10919" s="1"/>
      <c r="D10919" s="1"/>
      <c r="E10919" s="62"/>
      <c r="F10919" s="6"/>
      <c r="G10919" s="65"/>
      <c r="H10919" s="65"/>
    </row>
    <row r="10920" spans="1:8" s="61" customFormat="1" hidden="1">
      <c r="A10920" s="1"/>
      <c r="B10920" s="1"/>
      <c r="C10920" s="1"/>
      <c r="D10920" s="1"/>
      <c r="E10920" s="62"/>
      <c r="F10920" s="6"/>
      <c r="G10920" s="65"/>
      <c r="H10920" s="65"/>
    </row>
    <row r="10921" spans="1:8" s="61" customFormat="1" hidden="1">
      <c r="A10921" s="1"/>
      <c r="B10921" s="1"/>
      <c r="C10921" s="1"/>
      <c r="D10921" s="1"/>
      <c r="E10921" s="62"/>
      <c r="F10921" s="6"/>
      <c r="G10921" s="65"/>
      <c r="H10921" s="65"/>
    </row>
    <row r="10922" spans="1:8" s="61" customFormat="1" hidden="1">
      <c r="A10922" s="1"/>
      <c r="B10922" s="1"/>
      <c r="C10922" s="1"/>
      <c r="D10922" s="1"/>
      <c r="E10922" s="62"/>
      <c r="F10922" s="6"/>
      <c r="G10922" s="65"/>
      <c r="H10922" s="65"/>
    </row>
    <row r="10923" spans="1:8" s="61" customFormat="1" hidden="1">
      <c r="A10923" s="1"/>
      <c r="B10923" s="1"/>
      <c r="C10923" s="1"/>
      <c r="D10923" s="1"/>
      <c r="E10923" s="62"/>
      <c r="F10923" s="6"/>
      <c r="G10923" s="65"/>
      <c r="H10923" s="65"/>
    </row>
    <row r="10924" spans="1:8" s="61" customFormat="1" hidden="1">
      <c r="A10924" s="1"/>
      <c r="B10924" s="1"/>
      <c r="C10924" s="1"/>
      <c r="D10924" s="1"/>
      <c r="E10924" s="62"/>
      <c r="F10924" s="6"/>
      <c r="G10924" s="65"/>
      <c r="H10924" s="65"/>
    </row>
    <row r="10925" spans="1:8" s="61" customFormat="1" hidden="1">
      <c r="A10925" s="1"/>
      <c r="B10925" s="1"/>
      <c r="C10925" s="1"/>
      <c r="D10925" s="1"/>
      <c r="E10925" s="62"/>
      <c r="F10925" s="6"/>
      <c r="G10925" s="65"/>
      <c r="H10925" s="65"/>
    </row>
    <row r="10926" spans="1:8" s="61" customFormat="1" hidden="1">
      <c r="A10926" s="1"/>
      <c r="B10926" s="1"/>
      <c r="C10926" s="1"/>
      <c r="D10926" s="1"/>
      <c r="E10926" s="62"/>
      <c r="F10926" s="6"/>
      <c r="G10926" s="65"/>
      <c r="H10926" s="65"/>
    </row>
    <row r="10927" spans="1:8" s="61" customFormat="1" hidden="1">
      <c r="A10927" s="1"/>
      <c r="B10927" s="1"/>
      <c r="C10927" s="1"/>
      <c r="D10927" s="1"/>
      <c r="E10927" s="62"/>
      <c r="F10927" s="6"/>
      <c r="G10927" s="65"/>
      <c r="H10927" s="65"/>
    </row>
    <row r="10928" spans="1:8" s="61" customFormat="1" hidden="1">
      <c r="A10928" s="1"/>
      <c r="B10928" s="1"/>
      <c r="C10928" s="1"/>
      <c r="D10928" s="1"/>
      <c r="E10928" s="62"/>
      <c r="F10928" s="6"/>
      <c r="G10928" s="65"/>
      <c r="H10928" s="65"/>
    </row>
    <row r="10929" spans="1:8" s="61" customFormat="1" hidden="1">
      <c r="A10929" s="1"/>
      <c r="B10929" s="1"/>
      <c r="C10929" s="1"/>
      <c r="D10929" s="1"/>
      <c r="E10929" s="62"/>
      <c r="F10929" s="6"/>
      <c r="G10929" s="65"/>
      <c r="H10929" s="65"/>
    </row>
    <row r="10930" spans="1:8" s="61" customFormat="1" hidden="1">
      <c r="A10930" s="1"/>
      <c r="B10930" s="1"/>
      <c r="C10930" s="1"/>
      <c r="D10930" s="1"/>
      <c r="E10930" s="62"/>
      <c r="F10930" s="6"/>
      <c r="G10930" s="65"/>
      <c r="H10930" s="65"/>
    </row>
    <row r="10931" spans="1:8" s="61" customFormat="1" hidden="1">
      <c r="A10931" s="1"/>
      <c r="B10931" s="1"/>
      <c r="C10931" s="1"/>
      <c r="D10931" s="1"/>
      <c r="E10931" s="62"/>
      <c r="F10931" s="6"/>
      <c r="G10931" s="65"/>
      <c r="H10931" s="65"/>
    </row>
    <row r="10932" spans="1:8" s="61" customFormat="1" hidden="1">
      <c r="A10932" s="1"/>
      <c r="B10932" s="1"/>
      <c r="C10932" s="1"/>
      <c r="D10932" s="1"/>
      <c r="E10932" s="62"/>
      <c r="F10932" s="6"/>
      <c r="G10932" s="65"/>
      <c r="H10932" s="65"/>
    </row>
    <row r="10933" spans="1:8" s="61" customFormat="1" hidden="1">
      <c r="A10933" s="1"/>
      <c r="B10933" s="1"/>
      <c r="C10933" s="1"/>
      <c r="D10933" s="1"/>
      <c r="E10933" s="62"/>
      <c r="F10933" s="6"/>
      <c r="G10933" s="65"/>
      <c r="H10933" s="65"/>
    </row>
    <row r="10934" spans="1:8" s="61" customFormat="1" hidden="1">
      <c r="A10934" s="1"/>
      <c r="B10934" s="1"/>
      <c r="C10934" s="1"/>
      <c r="D10934" s="1"/>
      <c r="E10934" s="62"/>
      <c r="F10934" s="6"/>
      <c r="G10934" s="65"/>
      <c r="H10934" s="65"/>
    </row>
    <row r="10935" spans="1:8" s="61" customFormat="1" hidden="1">
      <c r="A10935" s="1"/>
      <c r="B10935" s="1"/>
      <c r="C10935" s="1"/>
      <c r="D10935" s="1"/>
      <c r="E10935" s="62"/>
      <c r="F10935" s="6"/>
      <c r="G10935" s="65"/>
      <c r="H10935" s="65"/>
    </row>
    <row r="10936" spans="1:8" s="61" customFormat="1" hidden="1">
      <c r="A10936" s="1"/>
      <c r="B10936" s="1"/>
      <c r="C10936" s="1"/>
      <c r="D10936" s="1"/>
      <c r="E10936" s="62"/>
      <c r="F10936" s="6"/>
      <c r="G10936" s="65"/>
      <c r="H10936" s="65"/>
    </row>
    <row r="10937" spans="1:8" s="61" customFormat="1" hidden="1">
      <c r="A10937" s="1"/>
      <c r="B10937" s="1"/>
      <c r="C10937" s="1"/>
      <c r="D10937" s="1"/>
      <c r="E10937" s="62"/>
      <c r="F10937" s="6"/>
      <c r="G10937" s="65"/>
      <c r="H10937" s="65"/>
    </row>
    <row r="10938" spans="1:8" s="61" customFormat="1" hidden="1">
      <c r="A10938" s="1"/>
      <c r="B10938" s="1"/>
      <c r="C10938" s="1"/>
      <c r="D10938" s="1"/>
      <c r="E10938" s="62"/>
      <c r="F10938" s="6"/>
      <c r="G10938" s="65"/>
      <c r="H10938" s="65"/>
    </row>
    <row r="10939" spans="1:8" s="61" customFormat="1" hidden="1">
      <c r="A10939" s="1"/>
      <c r="B10939" s="1"/>
      <c r="C10939" s="1"/>
      <c r="D10939" s="1"/>
      <c r="E10939" s="62"/>
      <c r="F10939" s="6"/>
      <c r="G10939" s="65"/>
      <c r="H10939" s="65"/>
    </row>
    <row r="10940" spans="1:8" s="61" customFormat="1" hidden="1">
      <c r="A10940" s="1"/>
      <c r="B10940" s="1"/>
      <c r="C10940" s="1"/>
      <c r="D10940" s="1"/>
      <c r="E10940" s="62"/>
      <c r="F10940" s="6"/>
      <c r="G10940" s="65"/>
      <c r="H10940" s="65"/>
    </row>
    <row r="10941" spans="1:8" s="61" customFormat="1" hidden="1">
      <c r="A10941" s="1"/>
      <c r="B10941" s="1"/>
      <c r="C10941" s="1"/>
      <c r="D10941" s="1"/>
      <c r="E10941" s="62"/>
      <c r="F10941" s="6"/>
      <c r="G10941" s="65"/>
      <c r="H10941" s="65"/>
    </row>
    <row r="10942" spans="1:8" s="61" customFormat="1" hidden="1">
      <c r="A10942" s="1"/>
      <c r="B10942" s="1"/>
      <c r="C10942" s="1"/>
      <c r="D10942" s="1"/>
      <c r="E10942" s="62"/>
      <c r="F10942" s="6"/>
      <c r="G10942" s="65"/>
      <c r="H10942" s="65"/>
    </row>
    <row r="10943" spans="1:8" s="61" customFormat="1" hidden="1">
      <c r="A10943" s="1"/>
      <c r="B10943" s="1"/>
      <c r="C10943" s="1"/>
      <c r="D10943" s="1"/>
      <c r="E10943" s="62"/>
      <c r="F10943" s="6"/>
      <c r="G10943" s="65"/>
      <c r="H10943" s="65"/>
    </row>
    <row r="10944" spans="1:8" s="61" customFormat="1" hidden="1">
      <c r="A10944" s="1"/>
      <c r="B10944" s="1"/>
      <c r="C10944" s="1"/>
      <c r="D10944" s="1"/>
      <c r="E10944" s="62"/>
      <c r="F10944" s="6"/>
      <c r="G10944" s="65"/>
      <c r="H10944" s="65"/>
    </row>
    <row r="10945" spans="1:8" s="61" customFormat="1" hidden="1">
      <c r="A10945" s="1"/>
      <c r="B10945" s="1"/>
      <c r="C10945" s="1"/>
      <c r="D10945" s="1"/>
      <c r="E10945" s="62"/>
      <c r="F10945" s="6"/>
      <c r="G10945" s="65"/>
      <c r="H10945" s="65"/>
    </row>
    <row r="10946" spans="1:8" s="61" customFormat="1" hidden="1">
      <c r="A10946" s="1"/>
      <c r="B10946" s="1"/>
      <c r="C10946" s="1"/>
      <c r="D10946" s="1"/>
      <c r="E10946" s="62"/>
      <c r="F10946" s="6"/>
      <c r="G10946" s="65"/>
      <c r="H10946" s="65"/>
    </row>
    <row r="10947" spans="1:8" s="61" customFormat="1" hidden="1">
      <c r="A10947" s="1"/>
      <c r="B10947" s="1"/>
      <c r="C10947" s="1"/>
      <c r="D10947" s="1"/>
      <c r="E10947" s="62"/>
      <c r="F10947" s="6"/>
      <c r="G10947" s="65"/>
      <c r="H10947" s="65"/>
    </row>
    <row r="10948" spans="1:8" s="61" customFormat="1" hidden="1">
      <c r="A10948" s="1"/>
      <c r="B10948" s="1"/>
      <c r="C10948" s="1"/>
      <c r="D10948" s="1"/>
      <c r="E10948" s="62"/>
      <c r="F10948" s="6"/>
      <c r="G10948" s="65"/>
      <c r="H10948" s="65"/>
    </row>
    <row r="10949" spans="1:8" s="61" customFormat="1" hidden="1">
      <c r="A10949" s="1"/>
      <c r="B10949" s="1"/>
      <c r="C10949" s="1"/>
      <c r="D10949" s="1"/>
      <c r="E10949" s="62"/>
      <c r="F10949" s="6"/>
      <c r="G10949" s="65"/>
      <c r="H10949" s="65"/>
    </row>
    <row r="10950" spans="1:8" s="61" customFormat="1" hidden="1">
      <c r="A10950" s="1"/>
      <c r="B10950" s="1"/>
      <c r="C10950" s="1"/>
      <c r="D10950" s="1"/>
      <c r="E10950" s="62"/>
      <c r="F10950" s="6"/>
      <c r="G10950" s="65"/>
      <c r="H10950" s="65"/>
    </row>
    <row r="10951" spans="1:8" s="61" customFormat="1" hidden="1">
      <c r="A10951" s="1"/>
      <c r="B10951" s="1"/>
      <c r="C10951" s="1"/>
      <c r="D10951" s="1"/>
      <c r="E10951" s="62"/>
      <c r="F10951" s="6"/>
      <c r="G10951" s="65"/>
      <c r="H10951" s="65"/>
    </row>
    <row r="10952" spans="1:8" s="61" customFormat="1" hidden="1">
      <c r="A10952" s="1"/>
      <c r="B10952" s="1"/>
      <c r="C10952" s="1"/>
      <c r="D10952" s="1"/>
      <c r="E10952" s="62"/>
      <c r="F10952" s="6"/>
      <c r="G10952" s="65"/>
      <c r="H10952" s="65"/>
    </row>
    <row r="10953" spans="1:8" s="61" customFormat="1" hidden="1">
      <c r="A10953" s="1"/>
      <c r="B10953" s="1"/>
      <c r="C10953" s="1"/>
      <c r="D10953" s="1"/>
      <c r="E10953" s="62"/>
      <c r="F10953" s="6"/>
      <c r="G10953" s="65"/>
      <c r="H10953" s="65"/>
    </row>
    <row r="10954" spans="1:8" s="61" customFormat="1" hidden="1">
      <c r="A10954" s="1"/>
      <c r="B10954" s="1"/>
      <c r="C10954" s="1"/>
      <c r="D10954" s="1"/>
      <c r="E10954" s="62"/>
      <c r="F10954" s="6"/>
      <c r="G10954" s="65"/>
      <c r="H10954" s="65"/>
    </row>
    <row r="10955" spans="1:8" s="61" customFormat="1" hidden="1">
      <c r="A10955" s="1"/>
      <c r="B10955" s="1"/>
      <c r="C10955" s="1"/>
      <c r="D10955" s="1"/>
      <c r="E10955" s="62"/>
      <c r="F10955" s="6"/>
      <c r="G10955" s="65"/>
      <c r="H10955" s="65"/>
    </row>
    <row r="10956" spans="1:8" s="61" customFormat="1" hidden="1">
      <c r="A10956" s="1"/>
      <c r="B10956" s="1"/>
      <c r="C10956" s="1"/>
      <c r="D10956" s="1"/>
      <c r="E10956" s="62"/>
      <c r="F10956" s="6"/>
      <c r="G10956" s="65"/>
      <c r="H10956" s="65"/>
    </row>
    <row r="10957" spans="1:8" s="61" customFormat="1" hidden="1">
      <c r="A10957" s="1"/>
      <c r="B10957" s="1"/>
      <c r="C10957" s="1"/>
      <c r="D10957" s="1"/>
      <c r="E10957" s="62"/>
      <c r="F10957" s="6"/>
      <c r="G10957" s="65"/>
      <c r="H10957" s="65"/>
    </row>
    <row r="10958" spans="1:8" s="61" customFormat="1" hidden="1">
      <c r="A10958" s="1"/>
      <c r="B10958" s="1"/>
      <c r="C10958" s="1"/>
      <c r="D10958" s="1"/>
      <c r="E10958" s="62"/>
      <c r="F10958" s="6"/>
      <c r="G10958" s="65"/>
      <c r="H10958" s="65"/>
    </row>
    <row r="10959" spans="1:8" s="61" customFormat="1" hidden="1">
      <c r="A10959" s="1"/>
      <c r="B10959" s="1"/>
      <c r="C10959" s="1"/>
      <c r="D10959" s="1"/>
      <c r="E10959" s="62"/>
      <c r="F10959" s="6"/>
      <c r="G10959" s="65"/>
      <c r="H10959" s="65"/>
    </row>
    <row r="10960" spans="1:8" s="61" customFormat="1" hidden="1">
      <c r="A10960" s="1"/>
      <c r="B10960" s="1"/>
      <c r="C10960" s="1"/>
      <c r="D10960" s="1"/>
      <c r="E10960" s="62"/>
      <c r="F10960" s="6"/>
      <c r="G10960" s="65"/>
      <c r="H10960" s="65"/>
    </row>
    <row r="10961" spans="1:8" s="61" customFormat="1" hidden="1">
      <c r="A10961" s="1"/>
      <c r="B10961" s="1"/>
      <c r="C10961" s="1"/>
      <c r="D10961" s="1"/>
      <c r="E10961" s="62"/>
      <c r="F10961" s="6"/>
      <c r="G10961" s="65"/>
      <c r="H10961" s="65"/>
    </row>
    <row r="10962" spans="1:8" s="61" customFormat="1" hidden="1">
      <c r="A10962" s="1"/>
      <c r="B10962" s="1"/>
      <c r="C10962" s="1"/>
      <c r="D10962" s="1"/>
      <c r="E10962" s="62"/>
      <c r="F10962" s="6"/>
      <c r="G10962" s="65"/>
      <c r="H10962" s="65"/>
    </row>
    <row r="10963" spans="1:8" s="61" customFormat="1" hidden="1">
      <c r="A10963" s="1"/>
      <c r="B10963" s="1"/>
      <c r="C10963" s="1"/>
      <c r="D10963" s="1"/>
      <c r="E10963" s="62"/>
      <c r="F10963" s="6"/>
      <c r="G10963" s="65"/>
      <c r="H10963" s="65"/>
    </row>
    <row r="10964" spans="1:8" s="61" customFormat="1" hidden="1">
      <c r="A10964" s="1"/>
      <c r="B10964" s="1"/>
      <c r="C10964" s="1"/>
      <c r="D10964" s="1"/>
      <c r="E10964" s="62"/>
      <c r="F10964" s="6"/>
      <c r="G10964" s="65"/>
      <c r="H10964" s="65"/>
    </row>
    <row r="10965" spans="1:8" s="61" customFormat="1" hidden="1">
      <c r="A10965" s="1"/>
      <c r="B10965" s="1"/>
      <c r="C10965" s="1"/>
      <c r="D10965" s="1"/>
      <c r="E10965" s="62"/>
      <c r="F10965" s="6"/>
      <c r="G10965" s="65"/>
      <c r="H10965" s="65"/>
    </row>
    <row r="10966" spans="1:8" s="61" customFormat="1" hidden="1">
      <c r="A10966" s="1"/>
      <c r="B10966" s="1"/>
      <c r="C10966" s="1"/>
      <c r="D10966" s="1"/>
      <c r="E10966" s="62"/>
      <c r="F10966" s="6"/>
      <c r="G10966" s="65"/>
      <c r="H10966" s="65"/>
    </row>
    <row r="10967" spans="1:8" s="61" customFormat="1" hidden="1">
      <c r="A10967" s="1"/>
      <c r="B10967" s="1"/>
      <c r="C10967" s="1"/>
      <c r="D10967" s="1"/>
      <c r="E10967" s="62"/>
      <c r="F10967" s="6"/>
      <c r="G10967" s="65"/>
      <c r="H10967" s="65"/>
    </row>
    <row r="10968" spans="1:8" s="61" customFormat="1" hidden="1">
      <c r="A10968" s="1"/>
      <c r="B10968" s="1"/>
      <c r="C10968" s="1"/>
      <c r="D10968" s="1"/>
      <c r="E10968" s="62"/>
      <c r="F10968" s="6"/>
      <c r="G10968" s="65"/>
      <c r="H10968" s="65"/>
    </row>
    <row r="10969" spans="1:8" s="61" customFormat="1" hidden="1">
      <c r="A10969" s="1"/>
      <c r="B10969" s="1"/>
      <c r="C10969" s="1"/>
      <c r="D10969" s="1"/>
      <c r="E10969" s="62"/>
      <c r="F10969" s="6"/>
      <c r="G10969" s="65"/>
      <c r="H10969" s="65"/>
    </row>
    <row r="10970" spans="1:8" s="61" customFormat="1" hidden="1">
      <c r="A10970" s="1"/>
      <c r="B10970" s="1"/>
      <c r="C10970" s="1"/>
      <c r="D10970" s="1"/>
      <c r="E10970" s="62"/>
      <c r="F10970" s="6"/>
      <c r="G10970" s="65"/>
      <c r="H10970" s="65"/>
    </row>
    <row r="10971" spans="1:8" s="61" customFormat="1" hidden="1">
      <c r="A10971" s="1"/>
      <c r="B10971" s="1"/>
      <c r="C10971" s="1"/>
      <c r="D10971" s="1"/>
      <c r="E10971" s="62"/>
      <c r="F10971" s="6"/>
      <c r="G10971" s="65"/>
      <c r="H10971" s="65"/>
    </row>
    <row r="10972" spans="1:8" s="61" customFormat="1" hidden="1">
      <c r="A10972" s="1"/>
      <c r="B10972" s="1"/>
      <c r="C10972" s="1"/>
      <c r="D10972" s="1"/>
      <c r="E10972" s="62"/>
      <c r="F10972" s="6"/>
      <c r="G10972" s="65"/>
      <c r="H10972" s="65"/>
    </row>
    <row r="10973" spans="1:8" s="61" customFormat="1" hidden="1">
      <c r="A10973" s="1"/>
      <c r="B10973" s="1"/>
      <c r="C10973" s="1"/>
      <c r="D10973" s="1"/>
      <c r="E10973" s="62"/>
      <c r="F10973" s="6"/>
      <c r="G10973" s="65"/>
      <c r="H10973" s="65"/>
    </row>
    <row r="10974" spans="1:8" s="61" customFormat="1" hidden="1">
      <c r="A10974" s="1"/>
      <c r="B10974" s="1"/>
      <c r="C10974" s="1"/>
      <c r="D10974" s="1"/>
      <c r="E10974" s="62"/>
      <c r="F10974" s="6"/>
      <c r="G10974" s="65"/>
      <c r="H10974" s="65"/>
    </row>
    <row r="10975" spans="1:8" s="61" customFormat="1" hidden="1">
      <c r="A10975" s="1"/>
      <c r="B10975" s="1"/>
      <c r="C10975" s="1"/>
      <c r="D10975" s="1"/>
      <c r="E10975" s="62"/>
      <c r="F10975" s="6"/>
      <c r="G10975" s="65"/>
      <c r="H10975" s="65"/>
    </row>
    <row r="10976" spans="1:8" s="61" customFormat="1" hidden="1">
      <c r="A10976" s="1"/>
      <c r="B10976" s="1"/>
      <c r="C10976" s="1"/>
      <c r="D10976" s="1"/>
      <c r="E10976" s="62"/>
      <c r="F10976" s="6"/>
      <c r="G10976" s="65"/>
      <c r="H10976" s="65"/>
    </row>
    <row r="10977" spans="1:8" s="61" customFormat="1" hidden="1">
      <c r="A10977" s="1"/>
      <c r="B10977" s="1"/>
      <c r="C10977" s="1"/>
      <c r="D10977" s="1"/>
      <c r="E10977" s="62"/>
      <c r="F10977" s="6"/>
      <c r="G10977" s="65"/>
      <c r="H10977" s="65"/>
    </row>
    <row r="10978" spans="1:8" s="61" customFormat="1" hidden="1">
      <c r="A10978" s="1"/>
      <c r="B10978" s="1"/>
      <c r="C10978" s="1"/>
      <c r="D10978" s="1"/>
      <c r="E10978" s="62"/>
      <c r="F10978" s="6"/>
      <c r="G10978" s="65"/>
      <c r="H10978" s="65"/>
    </row>
    <row r="10979" spans="1:8" s="61" customFormat="1" hidden="1">
      <c r="A10979" s="1"/>
      <c r="B10979" s="1"/>
      <c r="C10979" s="1"/>
      <c r="D10979" s="1"/>
      <c r="E10979" s="62"/>
      <c r="F10979" s="6"/>
      <c r="G10979" s="65"/>
      <c r="H10979" s="65"/>
    </row>
    <row r="10980" spans="1:8" s="61" customFormat="1" hidden="1">
      <c r="A10980" s="1"/>
      <c r="B10980" s="1"/>
      <c r="C10980" s="1"/>
      <c r="D10980" s="1"/>
      <c r="E10980" s="62"/>
      <c r="F10980" s="6"/>
      <c r="G10980" s="65"/>
      <c r="H10980" s="65"/>
    </row>
    <row r="10981" spans="1:8" s="61" customFormat="1" hidden="1">
      <c r="A10981" s="1"/>
      <c r="B10981" s="1"/>
      <c r="C10981" s="1"/>
      <c r="D10981" s="1"/>
      <c r="E10981" s="62"/>
      <c r="F10981" s="6"/>
      <c r="G10981" s="65"/>
      <c r="H10981" s="65"/>
    </row>
    <row r="10982" spans="1:8" s="61" customFormat="1" hidden="1">
      <c r="A10982" s="1"/>
      <c r="B10982" s="1"/>
      <c r="C10982" s="1"/>
      <c r="D10982" s="1"/>
      <c r="E10982" s="62"/>
      <c r="F10982" s="6"/>
      <c r="G10982" s="65"/>
      <c r="H10982" s="65"/>
    </row>
    <row r="10983" spans="1:8" s="61" customFormat="1" hidden="1">
      <c r="A10983" s="1"/>
      <c r="B10983" s="1"/>
      <c r="C10983" s="1"/>
      <c r="D10983" s="1"/>
      <c r="E10983" s="62"/>
      <c r="F10983" s="6"/>
      <c r="G10983" s="65"/>
      <c r="H10983" s="65"/>
    </row>
    <row r="10984" spans="1:8" s="61" customFormat="1" hidden="1">
      <c r="A10984" s="1"/>
      <c r="B10984" s="1"/>
      <c r="C10984" s="1"/>
      <c r="D10984" s="1"/>
      <c r="E10984" s="62"/>
      <c r="F10984" s="6"/>
      <c r="G10984" s="65"/>
      <c r="H10984" s="65"/>
    </row>
    <row r="10985" spans="1:8" s="61" customFormat="1" hidden="1">
      <c r="A10985" s="1"/>
      <c r="B10985" s="1"/>
      <c r="C10985" s="1"/>
      <c r="D10985" s="1"/>
      <c r="E10985" s="62"/>
      <c r="F10985" s="6"/>
      <c r="G10985" s="65"/>
      <c r="H10985" s="65"/>
    </row>
    <row r="10986" spans="1:8" s="61" customFormat="1" hidden="1">
      <c r="A10986" s="1"/>
      <c r="B10986" s="1"/>
      <c r="C10986" s="1"/>
      <c r="D10986" s="1"/>
      <c r="E10986" s="62"/>
      <c r="F10986" s="6"/>
      <c r="G10986" s="65"/>
      <c r="H10986" s="65"/>
    </row>
    <row r="10987" spans="1:8" s="61" customFormat="1" hidden="1">
      <c r="A10987" s="1"/>
      <c r="B10987" s="1"/>
      <c r="C10987" s="1"/>
      <c r="D10987" s="1"/>
      <c r="E10987" s="62"/>
      <c r="F10987" s="6"/>
      <c r="G10987" s="65"/>
      <c r="H10987" s="65"/>
    </row>
    <row r="10988" spans="1:8" s="61" customFormat="1" hidden="1">
      <c r="A10988" s="1"/>
      <c r="B10988" s="1"/>
      <c r="C10988" s="1"/>
      <c r="D10988" s="1"/>
      <c r="E10988" s="62"/>
      <c r="F10988" s="6"/>
      <c r="G10988" s="65"/>
      <c r="H10988" s="65"/>
    </row>
    <row r="10989" spans="1:8" s="61" customFormat="1" hidden="1">
      <c r="A10989" s="1"/>
      <c r="B10989" s="1"/>
      <c r="C10989" s="1"/>
      <c r="D10989" s="1"/>
      <c r="E10989" s="62"/>
      <c r="F10989" s="6"/>
      <c r="G10989" s="65"/>
      <c r="H10989" s="65"/>
    </row>
    <row r="10990" spans="1:8" s="61" customFormat="1" hidden="1">
      <c r="A10990" s="1"/>
      <c r="B10990" s="1"/>
      <c r="C10990" s="1"/>
      <c r="D10990" s="1"/>
      <c r="E10990" s="62"/>
      <c r="F10990" s="6"/>
      <c r="G10990" s="65"/>
      <c r="H10990" s="65"/>
    </row>
    <row r="10991" spans="1:8" s="61" customFormat="1" hidden="1">
      <c r="A10991" s="1"/>
      <c r="B10991" s="1"/>
      <c r="C10991" s="1"/>
      <c r="D10991" s="1"/>
      <c r="E10991" s="62"/>
      <c r="F10991" s="6"/>
      <c r="G10991" s="65"/>
      <c r="H10991" s="65"/>
    </row>
    <row r="10992" spans="1:8" s="61" customFormat="1" hidden="1">
      <c r="A10992" s="1"/>
      <c r="B10992" s="1"/>
      <c r="C10992" s="1"/>
      <c r="D10992" s="1"/>
      <c r="E10992" s="62"/>
      <c r="F10992" s="6"/>
      <c r="G10992" s="65"/>
      <c r="H10992" s="65"/>
    </row>
    <row r="10993" spans="1:8" s="61" customFormat="1" hidden="1">
      <c r="A10993" s="1"/>
      <c r="B10993" s="1"/>
      <c r="C10993" s="1"/>
      <c r="D10993" s="1"/>
      <c r="E10993" s="62"/>
      <c r="F10993" s="6"/>
      <c r="G10993" s="65"/>
      <c r="H10993" s="65"/>
    </row>
    <row r="10994" spans="1:8" s="61" customFormat="1" hidden="1">
      <c r="A10994" s="1"/>
      <c r="B10994" s="1"/>
      <c r="C10994" s="1"/>
      <c r="D10994" s="1"/>
      <c r="E10994" s="62"/>
      <c r="F10994" s="6"/>
      <c r="G10994" s="65"/>
      <c r="H10994" s="65"/>
    </row>
    <row r="10995" spans="1:8" s="61" customFormat="1" hidden="1">
      <c r="A10995" s="1"/>
      <c r="B10995" s="1"/>
      <c r="C10995" s="1"/>
      <c r="D10995" s="1"/>
      <c r="E10995" s="62"/>
      <c r="F10995" s="6"/>
      <c r="G10995" s="65"/>
      <c r="H10995" s="65"/>
    </row>
    <row r="10996" spans="1:8" s="61" customFormat="1" hidden="1">
      <c r="A10996" s="1"/>
      <c r="B10996" s="1"/>
      <c r="C10996" s="1"/>
      <c r="D10996" s="1"/>
      <c r="E10996" s="62"/>
      <c r="F10996" s="6"/>
      <c r="G10996" s="65"/>
      <c r="H10996" s="65"/>
    </row>
    <row r="10997" spans="1:8" s="61" customFormat="1" hidden="1">
      <c r="A10997" s="1"/>
      <c r="B10997" s="1"/>
      <c r="C10997" s="1"/>
      <c r="D10997" s="1"/>
      <c r="E10997" s="62"/>
      <c r="F10997" s="6"/>
      <c r="G10997" s="65"/>
      <c r="H10997" s="65"/>
    </row>
    <row r="10998" spans="1:8" s="61" customFormat="1" hidden="1">
      <c r="A10998" s="1"/>
      <c r="B10998" s="1"/>
      <c r="C10998" s="1"/>
      <c r="D10998" s="1"/>
      <c r="E10998" s="62"/>
      <c r="F10998" s="6"/>
      <c r="G10998" s="65"/>
      <c r="H10998" s="65"/>
    </row>
    <row r="10999" spans="1:8" s="61" customFormat="1" hidden="1">
      <c r="A10999" s="1"/>
      <c r="B10999" s="1"/>
      <c r="C10999" s="1"/>
      <c r="D10999" s="1"/>
      <c r="E10999" s="62"/>
      <c r="F10999" s="6"/>
      <c r="G10999" s="65"/>
      <c r="H10999" s="65"/>
    </row>
    <row r="11000" spans="1:8" s="61" customFormat="1" hidden="1">
      <c r="A11000" s="1"/>
      <c r="B11000" s="1"/>
      <c r="C11000" s="1"/>
      <c r="D11000" s="1"/>
      <c r="E11000" s="62"/>
      <c r="F11000" s="6"/>
      <c r="G11000" s="65"/>
      <c r="H11000" s="65"/>
    </row>
    <row r="11001" spans="1:8" s="61" customFormat="1" hidden="1">
      <c r="A11001" s="1"/>
      <c r="B11001" s="1"/>
      <c r="C11001" s="1"/>
      <c r="D11001" s="1"/>
      <c r="E11001" s="62"/>
      <c r="F11001" s="6"/>
      <c r="G11001" s="65"/>
      <c r="H11001" s="65"/>
    </row>
    <row r="11002" spans="1:8" s="61" customFormat="1" hidden="1">
      <c r="A11002" s="1"/>
      <c r="B11002" s="1"/>
      <c r="C11002" s="1"/>
      <c r="D11002" s="1"/>
      <c r="E11002" s="62"/>
      <c r="F11002" s="6"/>
      <c r="G11002" s="65"/>
      <c r="H11002" s="65"/>
    </row>
    <row r="11003" spans="1:8" s="61" customFormat="1" hidden="1">
      <c r="A11003" s="1"/>
      <c r="B11003" s="1"/>
      <c r="C11003" s="1"/>
      <c r="D11003" s="1"/>
      <c r="E11003" s="62"/>
      <c r="F11003" s="6"/>
      <c r="G11003" s="65"/>
      <c r="H11003" s="65"/>
    </row>
    <row r="11004" spans="1:8" s="61" customFormat="1" hidden="1">
      <c r="A11004" s="1"/>
      <c r="B11004" s="1"/>
      <c r="C11004" s="1"/>
      <c r="D11004" s="1"/>
      <c r="E11004" s="62"/>
      <c r="F11004" s="6"/>
      <c r="G11004" s="65"/>
      <c r="H11004" s="65"/>
    </row>
    <row r="11005" spans="1:8" s="61" customFormat="1" hidden="1">
      <c r="A11005" s="1"/>
      <c r="B11005" s="1"/>
      <c r="C11005" s="1"/>
      <c r="D11005" s="1"/>
      <c r="E11005" s="62"/>
      <c r="F11005" s="6"/>
      <c r="G11005" s="65"/>
      <c r="H11005" s="65"/>
    </row>
    <row r="11006" spans="1:8" s="61" customFormat="1" hidden="1">
      <c r="A11006" s="1"/>
      <c r="B11006" s="1"/>
      <c r="C11006" s="1"/>
      <c r="D11006" s="1"/>
      <c r="E11006" s="62"/>
      <c r="F11006" s="6"/>
      <c r="G11006" s="65"/>
      <c r="H11006" s="65"/>
    </row>
    <row r="11007" spans="1:8" s="61" customFormat="1" hidden="1">
      <c r="A11007" s="1"/>
      <c r="B11007" s="1"/>
      <c r="C11007" s="1"/>
      <c r="D11007" s="1"/>
      <c r="E11007" s="62"/>
      <c r="F11007" s="6"/>
      <c r="G11007" s="65"/>
      <c r="H11007" s="65"/>
    </row>
    <row r="11008" spans="1:8" s="61" customFormat="1" hidden="1">
      <c r="A11008" s="1"/>
      <c r="B11008" s="1"/>
      <c r="C11008" s="1"/>
      <c r="D11008" s="1"/>
      <c r="E11008" s="62"/>
      <c r="F11008" s="6"/>
      <c r="G11008" s="65"/>
      <c r="H11008" s="65"/>
    </row>
    <row r="11009" spans="1:8" s="61" customFormat="1" hidden="1">
      <c r="A11009" s="1"/>
      <c r="B11009" s="1"/>
      <c r="C11009" s="1"/>
      <c r="D11009" s="1"/>
      <c r="E11009" s="62"/>
      <c r="F11009" s="6"/>
      <c r="G11009" s="65"/>
      <c r="H11009" s="65"/>
    </row>
    <row r="11010" spans="1:8" s="61" customFormat="1" hidden="1">
      <c r="A11010" s="1"/>
      <c r="B11010" s="1"/>
      <c r="C11010" s="1"/>
      <c r="D11010" s="1"/>
      <c r="E11010" s="62"/>
      <c r="F11010" s="6"/>
      <c r="G11010" s="65"/>
      <c r="H11010" s="65"/>
    </row>
    <row r="11011" spans="1:8" s="61" customFormat="1" hidden="1">
      <c r="A11011" s="1"/>
      <c r="B11011" s="1"/>
      <c r="C11011" s="1"/>
      <c r="D11011" s="1"/>
      <c r="E11011" s="62"/>
      <c r="F11011" s="6"/>
      <c r="G11011" s="65"/>
      <c r="H11011" s="65"/>
    </row>
    <row r="11012" spans="1:8" s="61" customFormat="1" hidden="1">
      <c r="A11012" s="1"/>
      <c r="B11012" s="1"/>
      <c r="C11012" s="1"/>
      <c r="D11012" s="1"/>
      <c r="E11012" s="62"/>
      <c r="F11012" s="6"/>
      <c r="G11012" s="65"/>
      <c r="H11012" s="65"/>
    </row>
    <row r="11013" spans="1:8" s="61" customFormat="1" hidden="1">
      <c r="A11013" s="1"/>
      <c r="B11013" s="1"/>
      <c r="C11013" s="1"/>
      <c r="D11013" s="1"/>
      <c r="E11013" s="62"/>
      <c r="F11013" s="6"/>
      <c r="G11013" s="65"/>
      <c r="H11013" s="65"/>
    </row>
    <row r="11014" spans="1:8" s="61" customFormat="1" hidden="1">
      <c r="A11014" s="1"/>
      <c r="B11014" s="1"/>
      <c r="C11014" s="1"/>
      <c r="D11014" s="1"/>
      <c r="E11014" s="62"/>
      <c r="F11014" s="6"/>
      <c r="G11014" s="65"/>
      <c r="H11014" s="65"/>
    </row>
    <row r="11015" spans="1:8" s="61" customFormat="1" hidden="1">
      <c r="A11015" s="1"/>
      <c r="B11015" s="1"/>
      <c r="C11015" s="1"/>
      <c r="D11015" s="1"/>
      <c r="E11015" s="62"/>
      <c r="F11015" s="6"/>
      <c r="G11015" s="65"/>
      <c r="H11015" s="65"/>
    </row>
    <row r="11016" spans="1:8" s="61" customFormat="1" hidden="1">
      <c r="A11016" s="1"/>
      <c r="B11016" s="1"/>
      <c r="C11016" s="1"/>
      <c r="D11016" s="1"/>
      <c r="E11016" s="62"/>
      <c r="F11016" s="6"/>
      <c r="G11016" s="65"/>
      <c r="H11016" s="65"/>
    </row>
    <row r="11017" spans="1:8" s="61" customFormat="1" hidden="1">
      <c r="A11017" s="1"/>
      <c r="B11017" s="1"/>
      <c r="C11017" s="1"/>
      <c r="D11017" s="1"/>
      <c r="E11017" s="62"/>
      <c r="F11017" s="6"/>
      <c r="G11017" s="65"/>
      <c r="H11017" s="65"/>
    </row>
    <row r="11018" spans="1:8" s="61" customFormat="1" hidden="1">
      <c r="A11018" s="1"/>
      <c r="B11018" s="1"/>
      <c r="C11018" s="1"/>
      <c r="D11018" s="1"/>
      <c r="E11018" s="62"/>
      <c r="F11018" s="6"/>
      <c r="G11018" s="65"/>
      <c r="H11018" s="65"/>
    </row>
    <row r="11019" spans="1:8" s="61" customFormat="1" hidden="1">
      <c r="A11019" s="1"/>
      <c r="B11019" s="1"/>
      <c r="C11019" s="1"/>
      <c r="D11019" s="1"/>
      <c r="E11019" s="62"/>
      <c r="F11019" s="6"/>
      <c r="G11019" s="65"/>
      <c r="H11019" s="65"/>
    </row>
    <row r="11020" spans="1:8" s="61" customFormat="1" hidden="1">
      <c r="A11020" s="1"/>
      <c r="B11020" s="1"/>
      <c r="C11020" s="1"/>
      <c r="D11020" s="1"/>
      <c r="E11020" s="62"/>
      <c r="F11020" s="6"/>
      <c r="G11020" s="65"/>
      <c r="H11020" s="65"/>
    </row>
    <row r="11021" spans="1:8" s="61" customFormat="1" hidden="1">
      <c r="A11021" s="1"/>
      <c r="B11021" s="1"/>
      <c r="C11021" s="1"/>
      <c r="D11021" s="1"/>
      <c r="E11021" s="62"/>
      <c r="F11021" s="6"/>
      <c r="G11021" s="65"/>
      <c r="H11021" s="65"/>
    </row>
    <row r="11022" spans="1:8" s="61" customFormat="1" hidden="1">
      <c r="A11022" s="1"/>
      <c r="B11022" s="1"/>
      <c r="C11022" s="1"/>
      <c r="D11022" s="1"/>
      <c r="E11022" s="62"/>
      <c r="F11022" s="6"/>
      <c r="G11022" s="65"/>
      <c r="H11022" s="65"/>
    </row>
    <row r="11023" spans="1:8" s="61" customFormat="1" hidden="1">
      <c r="A11023" s="1"/>
      <c r="B11023" s="1"/>
      <c r="C11023" s="1"/>
      <c r="D11023" s="1"/>
      <c r="E11023" s="62"/>
      <c r="F11023" s="6"/>
      <c r="G11023" s="65"/>
      <c r="H11023" s="65"/>
    </row>
    <row r="11024" spans="1:8" s="61" customFormat="1" hidden="1">
      <c r="A11024" s="1"/>
      <c r="B11024" s="1"/>
      <c r="C11024" s="1"/>
      <c r="D11024" s="1"/>
      <c r="E11024" s="62"/>
      <c r="F11024" s="6"/>
      <c r="G11024" s="65"/>
      <c r="H11024" s="65"/>
    </row>
    <row r="11025" spans="1:8" s="61" customFormat="1" hidden="1">
      <c r="A11025" s="1"/>
      <c r="B11025" s="1"/>
      <c r="C11025" s="1"/>
      <c r="D11025" s="1"/>
      <c r="E11025" s="62"/>
      <c r="F11025" s="6"/>
      <c r="G11025" s="65"/>
      <c r="H11025" s="65"/>
    </row>
    <row r="11026" spans="1:8" s="61" customFormat="1" hidden="1">
      <c r="A11026" s="1"/>
      <c r="B11026" s="1"/>
      <c r="C11026" s="1"/>
      <c r="D11026" s="1"/>
      <c r="E11026" s="62"/>
      <c r="F11026" s="6"/>
      <c r="G11026" s="65"/>
      <c r="H11026" s="65"/>
    </row>
    <row r="11027" spans="1:8" s="61" customFormat="1" hidden="1">
      <c r="A11027" s="1"/>
      <c r="B11027" s="1"/>
      <c r="C11027" s="1"/>
      <c r="D11027" s="1"/>
      <c r="E11027" s="62"/>
      <c r="F11027" s="6"/>
      <c r="G11027" s="65"/>
      <c r="H11027" s="65"/>
    </row>
    <row r="11028" spans="1:8" s="61" customFormat="1" hidden="1">
      <c r="A11028" s="1"/>
      <c r="B11028" s="1"/>
      <c r="C11028" s="1"/>
      <c r="D11028" s="1"/>
      <c r="E11028" s="62"/>
      <c r="F11028" s="6"/>
      <c r="G11028" s="65"/>
      <c r="H11028" s="65"/>
    </row>
    <row r="11029" spans="1:8" s="61" customFormat="1" hidden="1">
      <c r="A11029" s="1"/>
      <c r="B11029" s="1"/>
      <c r="C11029" s="1"/>
      <c r="D11029" s="1"/>
      <c r="E11029" s="62"/>
      <c r="F11029" s="6"/>
      <c r="G11029" s="65"/>
      <c r="H11029" s="65"/>
    </row>
    <row r="11030" spans="1:8" s="61" customFormat="1" hidden="1">
      <c r="A11030" s="1"/>
      <c r="B11030" s="1"/>
      <c r="C11030" s="1"/>
      <c r="D11030" s="1"/>
      <c r="E11030" s="62"/>
      <c r="F11030" s="6"/>
      <c r="G11030" s="65"/>
      <c r="H11030" s="65"/>
    </row>
    <row r="11031" spans="1:8" s="61" customFormat="1" hidden="1">
      <c r="A11031" s="1"/>
      <c r="B11031" s="1"/>
      <c r="C11031" s="1"/>
      <c r="D11031" s="1"/>
      <c r="E11031" s="62"/>
      <c r="F11031" s="6"/>
      <c r="G11031" s="65"/>
      <c r="H11031" s="65"/>
    </row>
    <row r="11032" spans="1:8" s="61" customFormat="1" hidden="1">
      <c r="A11032" s="1"/>
      <c r="B11032" s="1"/>
      <c r="C11032" s="1"/>
      <c r="D11032" s="1"/>
      <c r="E11032" s="62"/>
      <c r="F11032" s="6"/>
      <c r="G11032" s="65"/>
      <c r="H11032" s="65"/>
    </row>
    <row r="11033" spans="1:8" s="61" customFormat="1" hidden="1">
      <c r="A11033" s="1"/>
      <c r="B11033" s="1"/>
      <c r="C11033" s="1"/>
      <c r="D11033" s="1"/>
      <c r="E11033" s="62"/>
      <c r="F11033" s="6"/>
      <c r="G11033" s="65"/>
      <c r="H11033" s="65"/>
    </row>
    <row r="11034" spans="1:8" s="61" customFormat="1" hidden="1">
      <c r="A11034" s="1"/>
      <c r="B11034" s="1"/>
      <c r="C11034" s="1"/>
      <c r="D11034" s="1"/>
      <c r="E11034" s="62"/>
      <c r="F11034" s="6"/>
      <c r="G11034" s="65"/>
      <c r="H11034" s="65"/>
    </row>
    <row r="11035" spans="1:8" s="61" customFormat="1" hidden="1">
      <c r="A11035" s="1"/>
      <c r="B11035" s="1"/>
      <c r="C11035" s="1"/>
      <c r="D11035" s="1"/>
      <c r="E11035" s="62"/>
      <c r="F11035" s="6"/>
      <c r="G11035" s="65"/>
      <c r="H11035" s="65"/>
    </row>
    <row r="11036" spans="1:8" s="61" customFormat="1" hidden="1">
      <c r="A11036" s="1"/>
      <c r="B11036" s="1"/>
      <c r="C11036" s="1"/>
      <c r="D11036" s="1"/>
      <c r="E11036" s="62"/>
      <c r="F11036" s="6"/>
      <c r="G11036" s="65"/>
      <c r="H11036" s="65"/>
    </row>
    <row r="11037" spans="1:8" s="61" customFormat="1" hidden="1">
      <c r="A11037" s="1"/>
      <c r="B11037" s="1"/>
      <c r="C11037" s="1"/>
      <c r="D11037" s="1"/>
      <c r="E11037" s="62"/>
      <c r="F11037" s="6"/>
      <c r="G11037" s="65"/>
      <c r="H11037" s="65"/>
    </row>
    <row r="11038" spans="1:8" s="61" customFormat="1" hidden="1">
      <c r="A11038" s="1"/>
      <c r="B11038" s="1"/>
      <c r="C11038" s="1"/>
      <c r="D11038" s="1"/>
      <c r="E11038" s="62"/>
      <c r="F11038" s="6"/>
      <c r="G11038" s="65"/>
      <c r="H11038" s="65"/>
    </row>
    <row r="11039" spans="1:8" s="61" customFormat="1" hidden="1">
      <c r="A11039" s="1"/>
      <c r="B11039" s="1"/>
      <c r="C11039" s="1"/>
      <c r="D11039" s="1"/>
      <c r="E11039" s="62"/>
      <c r="F11039" s="6"/>
      <c r="G11039" s="65"/>
      <c r="H11039" s="65"/>
    </row>
    <row r="11040" spans="1:8" s="61" customFormat="1" hidden="1">
      <c r="A11040" s="1"/>
      <c r="B11040" s="1"/>
      <c r="C11040" s="1"/>
      <c r="D11040" s="1"/>
      <c r="E11040" s="62"/>
      <c r="F11040" s="6"/>
      <c r="G11040" s="65"/>
      <c r="H11040" s="65"/>
    </row>
    <row r="11041" spans="1:8" s="61" customFormat="1" hidden="1">
      <c r="A11041" s="1"/>
      <c r="B11041" s="1"/>
      <c r="C11041" s="1"/>
      <c r="D11041" s="1"/>
      <c r="E11041" s="62"/>
      <c r="F11041" s="6"/>
      <c r="G11041" s="65"/>
      <c r="H11041" s="65"/>
    </row>
    <row r="11042" spans="1:8" s="61" customFormat="1" hidden="1">
      <c r="A11042" s="1"/>
      <c r="B11042" s="1"/>
      <c r="C11042" s="1"/>
      <c r="D11042" s="1"/>
      <c r="E11042" s="62"/>
      <c r="F11042" s="6"/>
      <c r="G11042" s="65"/>
      <c r="H11042" s="65"/>
    </row>
    <row r="11043" spans="1:8" s="61" customFormat="1" hidden="1">
      <c r="A11043" s="1"/>
      <c r="B11043" s="1"/>
      <c r="C11043" s="1"/>
      <c r="D11043" s="1"/>
      <c r="E11043" s="62"/>
      <c r="F11043" s="6"/>
      <c r="G11043" s="65"/>
      <c r="H11043" s="65"/>
    </row>
    <row r="11044" spans="1:8" s="61" customFormat="1" hidden="1">
      <c r="A11044" s="1"/>
      <c r="B11044" s="1"/>
      <c r="C11044" s="1"/>
      <c r="D11044" s="1"/>
      <c r="E11044" s="62"/>
      <c r="F11044" s="6"/>
      <c r="G11044" s="65"/>
      <c r="H11044" s="65"/>
    </row>
    <row r="11045" spans="1:8" s="61" customFormat="1" hidden="1">
      <c r="A11045" s="1"/>
      <c r="B11045" s="1"/>
      <c r="C11045" s="1"/>
      <c r="D11045" s="1"/>
      <c r="E11045" s="62"/>
      <c r="F11045" s="6"/>
      <c r="G11045" s="65"/>
      <c r="H11045" s="65"/>
    </row>
    <row r="11046" spans="1:8" s="61" customFormat="1" hidden="1">
      <c r="A11046" s="1"/>
      <c r="B11046" s="1"/>
      <c r="C11046" s="1"/>
      <c r="D11046" s="1"/>
      <c r="E11046" s="62"/>
      <c r="F11046" s="6"/>
      <c r="G11046" s="65"/>
      <c r="H11046" s="65"/>
    </row>
    <row r="11047" spans="1:8" s="61" customFormat="1" hidden="1">
      <c r="A11047" s="1"/>
      <c r="B11047" s="1"/>
      <c r="C11047" s="1"/>
      <c r="D11047" s="1"/>
      <c r="E11047" s="62"/>
      <c r="F11047" s="6"/>
      <c r="G11047" s="65"/>
      <c r="H11047" s="65"/>
    </row>
    <row r="11048" spans="1:8" s="61" customFormat="1" hidden="1">
      <c r="A11048" s="1"/>
      <c r="B11048" s="1"/>
      <c r="C11048" s="1"/>
      <c r="D11048" s="1"/>
      <c r="E11048" s="62"/>
      <c r="F11048" s="6"/>
      <c r="G11048" s="65"/>
      <c r="H11048" s="65"/>
    </row>
    <row r="11049" spans="1:8" s="61" customFormat="1" hidden="1">
      <c r="A11049" s="1"/>
      <c r="B11049" s="1"/>
      <c r="C11049" s="1"/>
      <c r="D11049" s="1"/>
      <c r="E11049" s="62"/>
      <c r="F11049" s="6"/>
      <c r="G11049" s="65"/>
      <c r="H11049" s="65"/>
    </row>
    <row r="11050" spans="1:8" s="61" customFormat="1" hidden="1">
      <c r="A11050" s="1"/>
      <c r="B11050" s="1"/>
      <c r="C11050" s="1"/>
      <c r="D11050" s="1"/>
      <c r="E11050" s="62"/>
      <c r="F11050" s="6"/>
      <c r="G11050" s="65"/>
      <c r="H11050" s="65"/>
    </row>
    <row r="11051" spans="1:8" s="61" customFormat="1" hidden="1">
      <c r="A11051" s="1"/>
      <c r="B11051" s="1"/>
      <c r="C11051" s="1"/>
      <c r="D11051" s="1"/>
      <c r="E11051" s="62"/>
      <c r="F11051" s="6"/>
      <c r="G11051" s="65"/>
      <c r="H11051" s="65"/>
    </row>
    <row r="11052" spans="1:8" s="61" customFormat="1" hidden="1">
      <c r="A11052" s="1"/>
      <c r="B11052" s="1"/>
      <c r="C11052" s="1"/>
      <c r="D11052" s="1"/>
      <c r="E11052" s="62"/>
      <c r="F11052" s="6"/>
      <c r="G11052" s="65"/>
      <c r="H11052" s="65"/>
    </row>
    <row r="11053" spans="1:8" s="61" customFormat="1" hidden="1">
      <c r="A11053" s="1"/>
      <c r="B11053" s="1"/>
      <c r="C11053" s="1"/>
      <c r="D11053" s="1"/>
      <c r="E11053" s="62"/>
      <c r="F11053" s="6"/>
      <c r="G11053" s="65"/>
      <c r="H11053" s="65"/>
    </row>
    <row r="11054" spans="1:8" s="61" customFormat="1" hidden="1">
      <c r="A11054" s="1"/>
      <c r="B11054" s="1"/>
      <c r="C11054" s="1"/>
      <c r="D11054" s="1"/>
      <c r="E11054" s="62"/>
      <c r="F11054" s="6"/>
      <c r="G11054" s="65"/>
      <c r="H11054" s="65"/>
    </row>
    <row r="11055" spans="1:8" s="61" customFormat="1" hidden="1">
      <c r="A11055" s="1"/>
      <c r="B11055" s="1"/>
      <c r="C11055" s="1"/>
      <c r="D11055" s="1"/>
      <c r="E11055" s="62"/>
      <c r="F11055" s="6"/>
      <c r="G11055" s="65"/>
      <c r="H11055" s="65"/>
    </row>
    <row r="11056" spans="1:8" s="61" customFormat="1" hidden="1">
      <c r="A11056" s="1"/>
      <c r="B11056" s="1"/>
      <c r="C11056" s="1"/>
      <c r="D11056" s="1"/>
      <c r="E11056" s="62"/>
      <c r="F11056" s="6"/>
      <c r="G11056" s="65"/>
      <c r="H11056" s="65"/>
    </row>
    <row r="11057" spans="1:8" s="61" customFormat="1" hidden="1">
      <c r="A11057" s="1"/>
      <c r="B11057" s="1"/>
      <c r="C11057" s="1"/>
      <c r="D11057" s="1"/>
      <c r="E11057" s="62"/>
      <c r="F11057" s="6"/>
      <c r="G11057" s="65"/>
      <c r="H11057" s="65"/>
    </row>
    <row r="11058" spans="1:8" s="61" customFormat="1" hidden="1">
      <c r="A11058" s="1"/>
      <c r="B11058" s="1"/>
      <c r="C11058" s="1"/>
      <c r="D11058" s="1"/>
      <c r="E11058" s="62"/>
      <c r="F11058" s="6"/>
      <c r="G11058" s="65"/>
      <c r="H11058" s="65"/>
    </row>
    <row r="11059" spans="1:8" s="61" customFormat="1" hidden="1">
      <c r="A11059" s="1"/>
      <c r="B11059" s="1"/>
      <c r="C11059" s="1"/>
      <c r="D11059" s="1"/>
      <c r="E11059" s="62"/>
      <c r="F11059" s="6"/>
      <c r="G11059" s="65"/>
      <c r="H11059" s="65"/>
    </row>
    <row r="11060" spans="1:8" s="61" customFormat="1" hidden="1">
      <c r="A11060" s="1"/>
      <c r="B11060" s="1"/>
      <c r="C11060" s="1"/>
      <c r="D11060" s="1"/>
      <c r="E11060" s="62"/>
      <c r="F11060" s="6"/>
      <c r="G11060" s="65"/>
      <c r="H11060" s="65"/>
    </row>
    <row r="11061" spans="1:8" s="61" customFormat="1" hidden="1">
      <c r="A11061" s="1"/>
      <c r="B11061" s="1"/>
      <c r="C11061" s="1"/>
      <c r="D11061" s="1"/>
      <c r="E11061" s="62"/>
      <c r="F11061" s="6"/>
      <c r="G11061" s="65"/>
      <c r="H11061" s="65"/>
    </row>
    <row r="11062" spans="1:8" s="61" customFormat="1" hidden="1">
      <c r="A11062" s="1"/>
      <c r="B11062" s="1"/>
      <c r="C11062" s="1"/>
      <c r="D11062" s="1"/>
      <c r="E11062" s="62"/>
      <c r="F11062" s="6"/>
      <c r="G11062" s="65"/>
      <c r="H11062" s="65"/>
    </row>
    <row r="11063" spans="1:8" s="61" customFormat="1" hidden="1">
      <c r="A11063" s="1"/>
      <c r="B11063" s="1"/>
      <c r="C11063" s="1"/>
      <c r="D11063" s="1"/>
      <c r="E11063" s="62"/>
      <c r="F11063" s="6"/>
      <c r="G11063" s="65"/>
      <c r="H11063" s="65"/>
    </row>
    <row r="11064" spans="1:8" s="61" customFormat="1" hidden="1">
      <c r="A11064" s="1"/>
      <c r="B11064" s="1"/>
      <c r="C11064" s="1"/>
      <c r="D11064" s="1"/>
      <c r="E11064" s="62"/>
      <c r="F11064" s="6"/>
      <c r="G11064" s="65"/>
      <c r="H11064" s="65"/>
    </row>
    <row r="11065" spans="1:8" s="61" customFormat="1" hidden="1">
      <c r="A11065" s="1"/>
      <c r="B11065" s="1"/>
      <c r="C11065" s="1"/>
      <c r="D11065" s="1"/>
      <c r="E11065" s="62"/>
      <c r="F11065" s="6"/>
      <c r="G11065" s="65"/>
      <c r="H11065" s="65"/>
    </row>
    <row r="11066" spans="1:8" s="61" customFormat="1" hidden="1">
      <c r="A11066" s="1"/>
      <c r="B11066" s="1"/>
      <c r="C11066" s="1"/>
      <c r="D11066" s="1"/>
      <c r="E11066" s="62"/>
      <c r="F11066" s="6"/>
      <c r="G11066" s="65"/>
      <c r="H11066" s="65"/>
    </row>
    <row r="11067" spans="1:8" s="61" customFormat="1" hidden="1">
      <c r="A11067" s="1"/>
      <c r="B11067" s="1"/>
      <c r="C11067" s="1"/>
      <c r="D11067" s="1"/>
      <c r="E11067" s="62"/>
      <c r="F11067" s="6"/>
      <c r="G11067" s="65"/>
      <c r="H11067" s="65"/>
    </row>
    <row r="11068" spans="1:8" s="61" customFormat="1" hidden="1">
      <c r="A11068" s="1"/>
      <c r="B11068" s="1"/>
      <c r="C11068" s="1"/>
      <c r="D11068" s="1"/>
      <c r="E11068" s="62"/>
      <c r="F11068" s="6"/>
      <c r="G11068" s="65"/>
      <c r="H11068" s="65"/>
    </row>
    <row r="11069" spans="1:8" s="61" customFormat="1" hidden="1">
      <c r="A11069" s="1"/>
      <c r="B11069" s="1"/>
      <c r="C11069" s="1"/>
      <c r="D11069" s="1"/>
      <c r="E11069" s="62"/>
      <c r="F11069" s="6"/>
      <c r="G11069" s="65"/>
      <c r="H11069" s="65"/>
    </row>
    <row r="11070" spans="1:8" s="61" customFormat="1" hidden="1">
      <c r="A11070" s="1"/>
      <c r="B11070" s="1"/>
      <c r="C11070" s="1"/>
      <c r="D11070" s="1"/>
      <c r="E11070" s="62"/>
      <c r="F11070" s="6"/>
      <c r="G11070" s="65"/>
      <c r="H11070" s="65"/>
    </row>
    <row r="11071" spans="1:8" s="61" customFormat="1" hidden="1">
      <c r="A11071" s="1"/>
      <c r="B11071" s="1"/>
      <c r="C11071" s="1"/>
      <c r="D11071" s="1"/>
      <c r="E11071" s="62"/>
      <c r="F11071" s="6"/>
      <c r="G11071" s="65"/>
      <c r="H11071" s="65"/>
    </row>
    <row r="11072" spans="1:8" s="61" customFormat="1" hidden="1">
      <c r="A11072" s="1"/>
      <c r="B11072" s="1"/>
      <c r="C11072" s="1"/>
      <c r="D11072" s="1"/>
      <c r="E11072" s="62"/>
      <c r="F11072" s="6"/>
      <c r="G11072" s="65"/>
      <c r="H11072" s="65"/>
    </row>
    <row r="11073" spans="1:8" s="61" customFormat="1" hidden="1">
      <c r="A11073" s="1"/>
      <c r="B11073" s="1"/>
      <c r="C11073" s="1"/>
      <c r="D11073" s="1"/>
      <c r="E11073" s="62"/>
      <c r="F11073" s="6"/>
      <c r="G11073" s="65"/>
      <c r="H11073" s="65"/>
    </row>
    <row r="11074" spans="1:8" s="61" customFormat="1" hidden="1">
      <c r="A11074" s="1"/>
      <c r="B11074" s="1"/>
      <c r="C11074" s="1"/>
      <c r="D11074" s="1"/>
      <c r="E11074" s="62"/>
      <c r="F11074" s="6"/>
      <c r="G11074" s="65"/>
      <c r="H11074" s="65"/>
    </row>
    <row r="11075" spans="1:8" s="61" customFormat="1" hidden="1">
      <c r="A11075" s="1"/>
      <c r="B11075" s="1"/>
      <c r="C11075" s="1"/>
      <c r="D11075" s="1"/>
      <c r="E11075" s="62"/>
      <c r="F11075" s="6"/>
      <c r="G11075" s="65"/>
      <c r="H11075" s="65"/>
    </row>
    <row r="11076" spans="1:8" s="61" customFormat="1" hidden="1">
      <c r="A11076" s="1"/>
      <c r="B11076" s="1"/>
      <c r="C11076" s="1"/>
      <c r="D11076" s="1"/>
      <c r="E11076" s="62"/>
      <c r="F11076" s="6"/>
      <c r="G11076" s="65"/>
      <c r="H11076" s="65"/>
    </row>
    <row r="11077" spans="1:8" s="61" customFormat="1" hidden="1">
      <c r="A11077" s="1"/>
      <c r="B11077" s="1"/>
      <c r="C11077" s="1"/>
      <c r="D11077" s="1"/>
      <c r="E11077" s="62"/>
      <c r="F11077" s="6"/>
      <c r="G11077" s="65"/>
      <c r="H11077" s="65"/>
    </row>
    <row r="11078" spans="1:8" s="61" customFormat="1" hidden="1">
      <c r="A11078" s="1"/>
      <c r="B11078" s="1"/>
      <c r="C11078" s="1"/>
      <c r="D11078" s="1"/>
      <c r="E11078" s="62"/>
      <c r="F11078" s="6"/>
      <c r="G11078" s="65"/>
      <c r="H11078" s="65"/>
    </row>
    <row r="11079" spans="1:8" s="61" customFormat="1" hidden="1">
      <c r="A11079" s="1"/>
      <c r="B11079" s="1"/>
      <c r="C11079" s="1"/>
      <c r="D11079" s="1"/>
      <c r="E11079" s="62"/>
      <c r="F11079" s="6"/>
      <c r="G11079" s="65"/>
      <c r="H11079" s="65"/>
    </row>
    <row r="11080" spans="1:8" s="61" customFormat="1" hidden="1">
      <c r="A11080" s="1"/>
      <c r="B11080" s="1"/>
      <c r="C11080" s="1"/>
      <c r="D11080" s="1"/>
      <c r="E11080" s="62"/>
      <c r="F11080" s="6"/>
      <c r="G11080" s="65"/>
      <c r="H11080" s="65"/>
    </row>
    <row r="11081" spans="1:8" s="61" customFormat="1" hidden="1">
      <c r="A11081" s="1"/>
      <c r="B11081" s="1"/>
      <c r="C11081" s="1"/>
      <c r="D11081" s="1"/>
      <c r="E11081" s="62"/>
      <c r="F11081" s="6"/>
      <c r="G11081" s="65"/>
      <c r="H11081" s="65"/>
    </row>
    <row r="11082" spans="1:8" s="61" customFormat="1" hidden="1">
      <c r="A11082" s="1"/>
      <c r="B11082" s="1"/>
      <c r="C11082" s="1"/>
      <c r="D11082" s="1"/>
      <c r="E11082" s="62"/>
      <c r="F11082" s="6"/>
      <c r="G11082" s="65"/>
      <c r="H11082" s="65"/>
    </row>
    <row r="11083" spans="1:8" s="61" customFormat="1" hidden="1">
      <c r="A11083" s="1"/>
      <c r="B11083" s="1"/>
      <c r="C11083" s="1"/>
      <c r="D11083" s="1"/>
      <c r="E11083" s="62"/>
      <c r="F11083" s="6"/>
      <c r="G11083" s="65"/>
      <c r="H11083" s="65"/>
    </row>
    <row r="11084" spans="1:8" s="61" customFormat="1" hidden="1">
      <c r="A11084" s="1"/>
      <c r="B11084" s="1"/>
      <c r="C11084" s="1"/>
      <c r="D11084" s="1"/>
      <c r="E11084" s="62"/>
      <c r="F11084" s="6"/>
      <c r="G11084" s="65"/>
      <c r="H11084" s="65"/>
    </row>
    <row r="11085" spans="1:8" s="61" customFormat="1" hidden="1">
      <c r="A11085" s="1"/>
      <c r="B11085" s="1"/>
      <c r="C11085" s="1"/>
      <c r="D11085" s="1"/>
      <c r="E11085" s="62"/>
      <c r="F11085" s="6"/>
      <c r="G11085" s="65"/>
      <c r="H11085" s="65"/>
    </row>
    <row r="11086" spans="1:8" s="61" customFormat="1" hidden="1">
      <c r="A11086" s="1"/>
      <c r="B11086" s="1"/>
      <c r="C11086" s="1"/>
      <c r="D11086" s="1"/>
      <c r="E11086" s="62"/>
      <c r="F11086" s="6"/>
      <c r="G11086" s="65"/>
      <c r="H11086" s="65"/>
    </row>
    <row r="11087" spans="1:8" s="61" customFormat="1" hidden="1">
      <c r="A11087" s="1"/>
      <c r="B11087" s="1"/>
      <c r="C11087" s="1"/>
      <c r="D11087" s="1"/>
      <c r="E11087" s="62"/>
      <c r="F11087" s="6"/>
      <c r="G11087" s="65"/>
      <c r="H11087" s="65"/>
    </row>
    <row r="11088" spans="1:8" s="61" customFormat="1" hidden="1">
      <c r="A11088" s="1"/>
      <c r="B11088" s="1"/>
      <c r="C11088" s="1"/>
      <c r="D11088" s="1"/>
      <c r="E11088" s="62"/>
      <c r="F11088" s="6"/>
      <c r="G11088" s="65"/>
      <c r="H11088" s="65"/>
    </row>
    <row r="11089" spans="1:8" s="61" customFormat="1" hidden="1">
      <c r="A11089" s="1"/>
      <c r="B11089" s="1"/>
      <c r="C11089" s="1"/>
      <c r="D11089" s="1"/>
      <c r="E11089" s="62"/>
      <c r="F11089" s="6"/>
      <c r="G11089" s="65"/>
      <c r="H11089" s="65"/>
    </row>
    <row r="11090" spans="1:8" s="61" customFormat="1" hidden="1">
      <c r="A11090" s="1"/>
      <c r="B11090" s="1"/>
      <c r="C11090" s="1"/>
      <c r="D11090" s="1"/>
      <c r="E11090" s="62"/>
      <c r="F11090" s="6"/>
      <c r="G11090" s="65"/>
      <c r="H11090" s="65"/>
    </row>
    <row r="11091" spans="1:8" s="61" customFormat="1" hidden="1">
      <c r="A11091" s="1"/>
      <c r="B11091" s="1"/>
      <c r="C11091" s="1"/>
      <c r="D11091" s="1"/>
      <c r="E11091" s="62"/>
      <c r="F11091" s="6"/>
      <c r="G11091" s="65"/>
      <c r="H11091" s="65"/>
    </row>
    <row r="11092" spans="1:8" s="61" customFormat="1" hidden="1">
      <c r="A11092" s="1"/>
      <c r="B11092" s="1"/>
      <c r="C11092" s="1"/>
      <c r="D11092" s="1"/>
      <c r="E11092" s="62"/>
      <c r="F11092" s="6"/>
      <c r="G11092" s="65"/>
      <c r="H11092" s="65"/>
    </row>
    <row r="11093" spans="1:8" s="61" customFormat="1" hidden="1">
      <c r="A11093" s="1"/>
      <c r="B11093" s="1"/>
      <c r="C11093" s="1"/>
      <c r="D11093" s="1"/>
      <c r="E11093" s="62"/>
      <c r="F11093" s="6"/>
      <c r="G11093" s="65"/>
      <c r="H11093" s="65"/>
    </row>
    <row r="11094" spans="1:8" s="61" customFormat="1" hidden="1">
      <c r="A11094" s="1"/>
      <c r="B11094" s="1"/>
      <c r="C11094" s="1"/>
      <c r="D11094" s="1"/>
      <c r="E11094" s="62"/>
      <c r="F11094" s="6"/>
      <c r="G11094" s="65"/>
      <c r="H11094" s="65"/>
    </row>
    <row r="11095" spans="1:8" s="61" customFormat="1" hidden="1">
      <c r="A11095" s="1"/>
      <c r="B11095" s="1"/>
      <c r="C11095" s="1"/>
      <c r="D11095" s="1"/>
      <c r="E11095" s="62"/>
      <c r="F11095" s="6"/>
      <c r="G11095" s="65"/>
      <c r="H11095" s="65"/>
    </row>
    <row r="11096" spans="1:8" s="61" customFormat="1" hidden="1">
      <c r="A11096" s="1"/>
      <c r="B11096" s="1"/>
      <c r="C11096" s="1"/>
      <c r="D11096" s="1"/>
      <c r="E11096" s="62"/>
      <c r="F11096" s="6"/>
      <c r="G11096" s="65"/>
      <c r="H11096" s="65"/>
    </row>
    <row r="11097" spans="1:8" s="61" customFormat="1" hidden="1">
      <c r="A11097" s="1"/>
      <c r="B11097" s="1"/>
      <c r="C11097" s="1"/>
      <c r="D11097" s="1"/>
      <c r="E11097" s="62"/>
      <c r="F11097" s="6"/>
      <c r="G11097" s="65"/>
      <c r="H11097" s="65"/>
    </row>
    <row r="11098" spans="1:8" s="61" customFormat="1" hidden="1">
      <c r="A11098" s="1"/>
      <c r="B11098" s="1"/>
      <c r="C11098" s="1"/>
      <c r="D11098" s="1"/>
      <c r="E11098" s="62"/>
      <c r="F11098" s="6"/>
      <c r="G11098" s="65"/>
      <c r="H11098" s="65"/>
    </row>
    <row r="11099" spans="1:8" s="61" customFormat="1" hidden="1">
      <c r="A11099" s="1"/>
      <c r="B11099" s="1"/>
      <c r="C11099" s="1"/>
      <c r="D11099" s="1"/>
      <c r="E11099" s="62"/>
      <c r="F11099" s="6"/>
      <c r="G11099" s="65"/>
      <c r="H11099" s="65"/>
    </row>
    <row r="11100" spans="1:8" s="61" customFormat="1" hidden="1">
      <c r="A11100" s="1"/>
      <c r="B11100" s="1"/>
      <c r="C11100" s="1"/>
      <c r="D11100" s="1"/>
      <c r="E11100" s="62"/>
      <c r="F11100" s="6"/>
      <c r="G11100" s="65"/>
      <c r="H11100" s="65"/>
    </row>
    <row r="11101" spans="1:8" s="61" customFormat="1" hidden="1">
      <c r="A11101" s="1"/>
      <c r="B11101" s="1"/>
      <c r="C11101" s="1"/>
      <c r="D11101" s="1"/>
      <c r="E11101" s="62"/>
      <c r="F11101" s="6"/>
      <c r="G11101" s="65"/>
      <c r="H11101" s="65"/>
    </row>
    <row r="11102" spans="1:8" s="61" customFormat="1" hidden="1">
      <c r="A11102" s="1"/>
      <c r="B11102" s="1"/>
      <c r="C11102" s="1"/>
      <c r="D11102" s="1"/>
      <c r="E11102" s="62"/>
      <c r="F11102" s="6"/>
      <c r="G11102" s="65"/>
      <c r="H11102" s="65"/>
    </row>
    <row r="11103" spans="1:8" s="61" customFormat="1" hidden="1">
      <c r="A11103" s="1"/>
      <c r="B11103" s="1"/>
      <c r="C11103" s="1"/>
      <c r="D11103" s="1"/>
      <c r="E11103" s="62"/>
      <c r="F11103" s="6"/>
      <c r="G11103" s="65"/>
      <c r="H11103" s="65"/>
    </row>
    <row r="11104" spans="1:8" s="61" customFormat="1" hidden="1">
      <c r="A11104" s="1"/>
      <c r="B11104" s="1"/>
      <c r="C11104" s="1"/>
      <c r="D11104" s="1"/>
      <c r="E11104" s="62"/>
      <c r="F11104" s="6"/>
      <c r="G11104" s="65"/>
      <c r="H11104" s="65"/>
    </row>
    <row r="11105" spans="1:8" s="61" customFormat="1" hidden="1">
      <c r="A11105" s="1"/>
      <c r="B11105" s="1"/>
      <c r="C11105" s="1"/>
      <c r="D11105" s="1"/>
      <c r="E11105" s="62"/>
      <c r="F11105" s="6"/>
      <c r="G11105" s="65"/>
      <c r="H11105" s="65"/>
    </row>
    <row r="11106" spans="1:8" s="61" customFormat="1" hidden="1">
      <c r="A11106" s="1"/>
      <c r="B11106" s="1"/>
      <c r="C11106" s="1"/>
      <c r="D11106" s="1"/>
      <c r="E11106" s="62"/>
      <c r="F11106" s="6"/>
      <c r="G11106" s="65"/>
      <c r="H11106" s="65"/>
    </row>
    <row r="11107" spans="1:8" s="61" customFormat="1" hidden="1">
      <c r="A11107" s="1"/>
      <c r="B11107" s="1"/>
      <c r="C11107" s="1"/>
      <c r="D11107" s="1"/>
      <c r="E11107" s="62"/>
      <c r="F11107" s="6"/>
      <c r="G11107" s="65"/>
      <c r="H11107" s="65"/>
    </row>
    <row r="11108" spans="1:8" s="61" customFormat="1" hidden="1">
      <c r="A11108" s="1"/>
      <c r="B11108" s="1"/>
      <c r="C11108" s="1"/>
      <c r="D11108" s="1"/>
      <c r="E11108" s="62"/>
      <c r="F11108" s="6"/>
      <c r="G11108" s="65"/>
      <c r="H11108" s="65"/>
    </row>
    <row r="11109" spans="1:8" s="61" customFormat="1" hidden="1">
      <c r="A11109" s="1"/>
      <c r="B11109" s="1"/>
      <c r="C11109" s="1"/>
      <c r="D11109" s="1"/>
      <c r="E11109" s="62"/>
      <c r="F11109" s="6"/>
      <c r="G11109" s="65"/>
      <c r="H11109" s="65"/>
    </row>
    <row r="11110" spans="1:8" s="61" customFormat="1" hidden="1">
      <c r="A11110" s="1"/>
      <c r="B11110" s="1"/>
      <c r="C11110" s="1"/>
      <c r="D11110" s="1"/>
      <c r="E11110" s="62"/>
      <c r="F11110" s="6"/>
      <c r="G11110" s="65"/>
      <c r="H11110" s="65"/>
    </row>
    <row r="11111" spans="1:8" s="61" customFormat="1" hidden="1">
      <c r="A11111" s="1"/>
      <c r="B11111" s="1"/>
      <c r="C11111" s="1"/>
      <c r="D11111" s="1"/>
      <c r="E11111" s="62"/>
      <c r="F11111" s="6"/>
      <c r="G11111" s="65"/>
      <c r="H11111" s="65"/>
    </row>
    <row r="11112" spans="1:8" s="61" customFormat="1" hidden="1">
      <c r="A11112" s="1"/>
      <c r="B11112" s="1"/>
      <c r="C11112" s="1"/>
      <c r="D11112" s="1"/>
      <c r="E11112" s="62"/>
      <c r="F11112" s="6"/>
      <c r="G11112" s="65"/>
      <c r="H11112" s="65"/>
    </row>
    <row r="11113" spans="1:8" s="61" customFormat="1" hidden="1">
      <c r="A11113" s="1"/>
      <c r="B11113" s="1"/>
      <c r="C11113" s="1"/>
      <c r="D11113" s="1"/>
      <c r="E11113" s="62"/>
      <c r="F11113" s="6"/>
      <c r="G11113" s="65"/>
      <c r="H11113" s="65"/>
    </row>
    <row r="11114" spans="1:8" s="61" customFormat="1" hidden="1">
      <c r="A11114" s="1"/>
      <c r="B11114" s="1"/>
      <c r="C11114" s="1"/>
      <c r="D11114" s="1"/>
      <c r="E11114" s="62"/>
      <c r="F11114" s="6"/>
      <c r="G11114" s="65"/>
      <c r="H11114" s="65"/>
    </row>
    <row r="11115" spans="1:8" s="61" customFormat="1" hidden="1">
      <c r="A11115" s="1"/>
      <c r="B11115" s="1"/>
      <c r="C11115" s="1"/>
      <c r="D11115" s="1"/>
      <c r="E11115" s="62"/>
      <c r="F11115" s="6"/>
      <c r="G11115" s="65"/>
      <c r="H11115" s="65"/>
    </row>
    <row r="11116" spans="1:8" s="61" customFormat="1" hidden="1">
      <c r="A11116" s="1"/>
      <c r="B11116" s="1"/>
      <c r="C11116" s="1"/>
      <c r="D11116" s="1"/>
      <c r="E11116" s="62"/>
      <c r="F11116" s="6"/>
      <c r="G11116" s="65"/>
      <c r="H11116" s="65"/>
    </row>
    <row r="11117" spans="1:8" s="61" customFormat="1" hidden="1">
      <c r="A11117" s="1"/>
      <c r="B11117" s="1"/>
      <c r="C11117" s="1"/>
      <c r="D11117" s="1"/>
      <c r="E11117" s="62"/>
      <c r="F11117" s="6"/>
      <c r="G11117" s="65"/>
      <c r="H11117" s="65"/>
    </row>
    <row r="11118" spans="1:8" s="61" customFormat="1" hidden="1">
      <c r="A11118" s="1"/>
      <c r="B11118" s="1"/>
      <c r="C11118" s="1"/>
      <c r="D11118" s="1"/>
      <c r="E11118" s="62"/>
      <c r="F11118" s="6"/>
      <c r="G11118" s="65"/>
      <c r="H11118" s="65"/>
    </row>
    <row r="11119" spans="1:8" s="61" customFormat="1" hidden="1">
      <c r="A11119" s="1"/>
      <c r="B11119" s="1"/>
      <c r="C11119" s="1"/>
      <c r="D11119" s="1"/>
      <c r="E11119" s="62"/>
      <c r="F11119" s="6"/>
      <c r="G11119" s="65"/>
      <c r="H11119" s="65"/>
    </row>
    <row r="11120" spans="1:8" s="61" customFormat="1" hidden="1">
      <c r="A11120" s="1"/>
      <c r="B11120" s="1"/>
      <c r="C11120" s="1"/>
      <c r="D11120" s="1"/>
      <c r="E11120" s="62"/>
      <c r="F11120" s="6"/>
      <c r="G11120" s="65"/>
      <c r="H11120" s="65"/>
    </row>
    <row r="11121" spans="1:8" s="61" customFormat="1" hidden="1">
      <c r="A11121" s="1"/>
      <c r="B11121" s="1"/>
      <c r="C11121" s="1"/>
      <c r="D11121" s="1"/>
      <c r="E11121" s="62"/>
      <c r="F11121" s="6"/>
      <c r="G11121" s="65"/>
      <c r="H11121" s="65"/>
    </row>
    <row r="11122" spans="1:8" s="61" customFormat="1" hidden="1">
      <c r="A11122" s="1"/>
      <c r="B11122" s="1"/>
      <c r="C11122" s="1"/>
      <c r="D11122" s="1"/>
      <c r="E11122" s="62"/>
      <c r="F11122" s="6"/>
      <c r="G11122" s="65"/>
      <c r="H11122" s="65"/>
    </row>
    <row r="11123" spans="1:8" s="61" customFormat="1" hidden="1">
      <c r="A11123" s="1"/>
      <c r="B11123" s="1"/>
      <c r="C11123" s="1"/>
      <c r="D11123" s="1"/>
      <c r="E11123" s="62"/>
      <c r="F11123" s="6"/>
      <c r="G11123" s="65"/>
      <c r="H11123" s="65"/>
    </row>
    <row r="11124" spans="1:8" s="61" customFormat="1" hidden="1">
      <c r="A11124" s="1"/>
      <c r="B11124" s="1"/>
      <c r="C11124" s="1"/>
      <c r="D11124" s="1"/>
      <c r="E11124" s="62"/>
      <c r="F11124" s="6"/>
      <c r="G11124" s="65"/>
      <c r="H11124" s="65"/>
    </row>
    <row r="11125" spans="1:8" s="61" customFormat="1" hidden="1">
      <c r="A11125" s="1"/>
      <c r="B11125" s="1"/>
      <c r="C11125" s="1"/>
      <c r="D11125" s="1"/>
      <c r="E11125" s="62"/>
      <c r="F11125" s="6"/>
      <c r="G11125" s="65"/>
      <c r="H11125" s="65"/>
    </row>
    <row r="11126" spans="1:8" s="61" customFormat="1" hidden="1">
      <c r="A11126" s="1"/>
      <c r="B11126" s="1"/>
      <c r="C11126" s="1"/>
      <c r="D11126" s="1"/>
      <c r="E11126" s="62"/>
      <c r="F11126" s="6"/>
      <c r="G11126" s="65"/>
      <c r="H11126" s="65"/>
    </row>
    <row r="11127" spans="1:8" s="61" customFormat="1" hidden="1">
      <c r="A11127" s="1"/>
      <c r="B11127" s="1"/>
      <c r="C11127" s="1"/>
      <c r="D11127" s="1"/>
      <c r="E11127" s="62"/>
      <c r="F11127" s="6"/>
      <c r="G11127" s="65"/>
      <c r="H11127" s="65"/>
    </row>
    <row r="11128" spans="1:8" s="61" customFormat="1" hidden="1">
      <c r="A11128" s="1"/>
      <c r="B11128" s="1"/>
      <c r="C11128" s="1"/>
      <c r="D11128" s="1"/>
      <c r="E11128" s="62"/>
      <c r="F11128" s="6"/>
      <c r="G11128" s="65"/>
      <c r="H11128" s="65"/>
    </row>
    <row r="11129" spans="1:8" s="61" customFormat="1" hidden="1">
      <c r="A11129" s="1"/>
      <c r="B11129" s="1"/>
      <c r="C11129" s="1"/>
      <c r="D11129" s="1"/>
      <c r="E11129" s="62"/>
      <c r="F11129" s="6"/>
      <c r="G11129" s="65"/>
      <c r="H11129" s="65"/>
    </row>
    <row r="11130" spans="1:8" s="61" customFormat="1" hidden="1">
      <c r="A11130" s="1"/>
      <c r="B11130" s="1"/>
      <c r="C11130" s="1"/>
      <c r="D11130" s="1"/>
      <c r="E11130" s="62"/>
      <c r="F11130" s="6"/>
      <c r="G11130" s="65"/>
      <c r="H11130" s="65"/>
    </row>
    <row r="11131" spans="1:8" s="61" customFormat="1" hidden="1">
      <c r="A11131" s="1"/>
      <c r="B11131" s="1"/>
      <c r="C11131" s="1"/>
      <c r="D11131" s="1"/>
      <c r="E11131" s="62"/>
      <c r="F11131" s="6"/>
      <c r="G11131" s="65"/>
      <c r="H11131" s="65"/>
    </row>
    <row r="11132" spans="1:8" s="61" customFormat="1" hidden="1">
      <c r="A11132" s="1"/>
      <c r="B11132" s="1"/>
      <c r="C11132" s="1"/>
      <c r="D11132" s="1"/>
      <c r="E11132" s="62"/>
      <c r="F11132" s="6"/>
      <c r="G11132" s="65"/>
      <c r="H11132" s="65"/>
    </row>
    <row r="11133" spans="1:8" s="61" customFormat="1" hidden="1">
      <c r="A11133" s="1"/>
      <c r="B11133" s="1"/>
      <c r="C11133" s="1"/>
      <c r="D11133" s="1"/>
      <c r="E11133" s="62"/>
      <c r="F11133" s="6"/>
      <c r="G11133" s="65"/>
      <c r="H11133" s="65"/>
    </row>
    <row r="11134" spans="1:8" s="61" customFormat="1" hidden="1">
      <c r="A11134" s="1"/>
      <c r="B11134" s="1"/>
      <c r="C11134" s="1"/>
      <c r="D11134" s="1"/>
      <c r="E11134" s="62"/>
      <c r="F11134" s="6"/>
      <c r="G11134" s="65"/>
      <c r="H11134" s="65"/>
    </row>
    <row r="11135" spans="1:8" s="61" customFormat="1" hidden="1">
      <c r="A11135" s="1"/>
      <c r="B11135" s="1"/>
      <c r="C11135" s="1"/>
      <c r="D11135" s="1"/>
      <c r="E11135" s="62"/>
      <c r="F11135" s="6"/>
      <c r="G11135" s="65"/>
      <c r="H11135" s="65"/>
    </row>
    <row r="11136" spans="1:8" s="61" customFormat="1" hidden="1">
      <c r="A11136" s="1"/>
      <c r="B11136" s="1"/>
      <c r="C11136" s="1"/>
      <c r="D11136" s="1"/>
      <c r="E11136" s="62"/>
      <c r="F11136" s="6"/>
      <c r="G11136" s="65"/>
      <c r="H11136" s="65"/>
    </row>
    <row r="11137" spans="1:8" s="61" customFormat="1" hidden="1">
      <c r="A11137" s="1"/>
      <c r="B11137" s="1"/>
      <c r="C11137" s="1"/>
      <c r="D11137" s="1"/>
      <c r="E11137" s="62"/>
      <c r="F11137" s="6"/>
      <c r="G11137" s="65"/>
      <c r="H11137" s="65"/>
    </row>
    <row r="11138" spans="1:8" s="61" customFormat="1" hidden="1">
      <c r="A11138" s="1"/>
      <c r="B11138" s="1"/>
      <c r="C11138" s="1"/>
      <c r="D11138" s="1"/>
      <c r="E11138" s="62"/>
      <c r="F11138" s="6"/>
      <c r="G11138" s="65"/>
      <c r="H11138" s="65"/>
    </row>
    <row r="11139" spans="1:8" s="61" customFormat="1" hidden="1">
      <c r="A11139" s="1"/>
      <c r="B11139" s="1"/>
      <c r="C11139" s="1"/>
      <c r="D11139" s="1"/>
      <c r="E11139" s="62"/>
      <c r="F11139" s="6"/>
      <c r="G11139" s="65"/>
      <c r="H11139" s="65"/>
    </row>
    <row r="11140" spans="1:8" s="61" customFormat="1" hidden="1">
      <c r="A11140" s="1"/>
      <c r="B11140" s="1"/>
      <c r="C11140" s="1"/>
      <c r="D11140" s="1"/>
      <c r="E11140" s="62"/>
      <c r="F11140" s="6"/>
      <c r="G11140" s="65"/>
      <c r="H11140" s="65"/>
    </row>
    <row r="11141" spans="1:8" s="61" customFormat="1" hidden="1">
      <c r="A11141" s="1"/>
      <c r="B11141" s="1"/>
      <c r="C11141" s="1"/>
      <c r="D11141" s="1"/>
      <c r="E11141" s="62"/>
      <c r="F11141" s="6"/>
      <c r="G11141" s="65"/>
      <c r="H11141" s="65"/>
    </row>
    <row r="11142" spans="1:8" s="61" customFormat="1" hidden="1">
      <c r="A11142" s="1"/>
      <c r="B11142" s="1"/>
      <c r="C11142" s="1"/>
      <c r="D11142" s="1"/>
      <c r="E11142" s="62"/>
      <c r="F11142" s="6"/>
      <c r="G11142" s="65"/>
      <c r="H11142" s="65"/>
    </row>
    <row r="11143" spans="1:8" s="61" customFormat="1" hidden="1">
      <c r="A11143" s="1"/>
      <c r="B11143" s="1"/>
      <c r="C11143" s="1"/>
      <c r="D11143" s="1"/>
      <c r="E11143" s="62"/>
      <c r="F11143" s="6"/>
      <c r="G11143" s="65"/>
      <c r="H11143" s="65"/>
    </row>
    <row r="11144" spans="1:8" s="61" customFormat="1" hidden="1">
      <c r="A11144" s="1"/>
      <c r="B11144" s="1"/>
      <c r="C11144" s="1"/>
      <c r="D11144" s="1"/>
      <c r="E11144" s="62"/>
      <c r="F11144" s="6"/>
      <c r="G11144" s="65"/>
      <c r="H11144" s="65"/>
    </row>
    <row r="11145" spans="1:8" s="61" customFormat="1" hidden="1">
      <c r="A11145" s="1"/>
      <c r="B11145" s="1"/>
      <c r="C11145" s="1"/>
      <c r="D11145" s="1"/>
      <c r="E11145" s="62"/>
      <c r="F11145" s="6"/>
      <c r="G11145" s="65"/>
      <c r="H11145" s="65"/>
    </row>
    <row r="11146" spans="1:8" s="61" customFormat="1" hidden="1">
      <c r="A11146" s="1"/>
      <c r="B11146" s="1"/>
      <c r="C11146" s="1"/>
      <c r="D11146" s="1"/>
      <c r="E11146" s="62"/>
      <c r="F11146" s="6"/>
      <c r="G11146" s="65"/>
      <c r="H11146" s="65"/>
    </row>
    <row r="11147" spans="1:8" s="61" customFormat="1" hidden="1">
      <c r="A11147" s="1"/>
      <c r="B11147" s="1"/>
      <c r="C11147" s="1"/>
      <c r="D11147" s="1"/>
      <c r="E11147" s="62"/>
      <c r="F11147" s="6"/>
      <c r="G11147" s="65"/>
      <c r="H11147" s="65"/>
    </row>
    <row r="11148" spans="1:8" s="61" customFormat="1" hidden="1">
      <c r="A11148" s="1"/>
      <c r="B11148" s="1"/>
      <c r="C11148" s="1"/>
      <c r="D11148" s="1"/>
      <c r="E11148" s="62"/>
      <c r="F11148" s="6"/>
      <c r="G11148" s="65"/>
      <c r="H11148" s="65"/>
    </row>
    <row r="11149" spans="1:8" s="61" customFormat="1" hidden="1">
      <c r="A11149" s="1"/>
      <c r="B11149" s="1"/>
      <c r="C11149" s="1"/>
      <c r="D11149" s="1"/>
      <c r="E11149" s="62"/>
      <c r="F11149" s="6"/>
      <c r="G11149" s="65"/>
      <c r="H11149" s="65"/>
    </row>
    <row r="11150" spans="1:8" s="61" customFormat="1" hidden="1">
      <c r="A11150" s="1"/>
      <c r="B11150" s="1"/>
      <c r="C11150" s="1"/>
      <c r="D11150" s="1"/>
      <c r="E11150" s="62"/>
      <c r="F11150" s="6"/>
      <c r="G11150" s="65"/>
      <c r="H11150" s="65"/>
    </row>
    <row r="11151" spans="1:8" s="61" customFormat="1" hidden="1">
      <c r="A11151" s="1"/>
      <c r="B11151" s="1"/>
      <c r="C11151" s="1"/>
      <c r="D11151" s="1"/>
      <c r="E11151" s="62"/>
      <c r="F11151" s="6"/>
      <c r="G11151" s="65"/>
      <c r="H11151" s="65"/>
    </row>
    <row r="11152" spans="1:8" s="61" customFormat="1" hidden="1">
      <c r="A11152" s="1"/>
      <c r="B11152" s="1"/>
      <c r="C11152" s="1"/>
      <c r="D11152" s="1"/>
      <c r="E11152" s="62"/>
      <c r="F11152" s="6"/>
      <c r="G11152" s="65"/>
      <c r="H11152" s="65"/>
    </row>
    <row r="11153" spans="1:8" s="61" customFormat="1" hidden="1">
      <c r="A11153" s="1"/>
      <c r="B11153" s="1"/>
      <c r="C11153" s="1"/>
      <c r="D11153" s="1"/>
      <c r="E11153" s="62"/>
      <c r="F11153" s="6"/>
      <c r="G11153" s="65"/>
      <c r="H11153" s="65"/>
    </row>
    <row r="11154" spans="1:8" s="61" customFormat="1" hidden="1">
      <c r="A11154" s="1"/>
      <c r="B11154" s="1"/>
      <c r="C11154" s="1"/>
      <c r="D11154" s="1"/>
      <c r="E11154" s="62"/>
      <c r="F11154" s="6"/>
      <c r="G11154" s="65"/>
      <c r="H11154" s="65"/>
    </row>
    <row r="11155" spans="1:8" s="61" customFormat="1" hidden="1">
      <c r="A11155" s="1"/>
      <c r="B11155" s="1"/>
      <c r="C11155" s="1"/>
      <c r="D11155" s="1"/>
      <c r="E11155" s="62"/>
      <c r="F11155" s="6"/>
      <c r="G11155" s="65"/>
      <c r="H11155" s="65"/>
    </row>
    <row r="11156" spans="1:8" s="61" customFormat="1" hidden="1">
      <c r="A11156" s="1"/>
      <c r="B11156" s="1"/>
      <c r="C11156" s="1"/>
      <c r="D11156" s="1"/>
      <c r="E11156" s="62"/>
      <c r="F11156" s="6"/>
      <c r="G11156" s="65"/>
      <c r="H11156" s="65"/>
    </row>
    <row r="11157" spans="1:8" s="61" customFormat="1" hidden="1">
      <c r="A11157" s="1"/>
      <c r="B11157" s="1"/>
      <c r="C11157" s="1"/>
      <c r="D11157" s="1"/>
      <c r="E11157" s="62"/>
      <c r="F11157" s="6"/>
      <c r="G11157" s="65"/>
      <c r="H11157" s="65"/>
    </row>
    <row r="11158" spans="1:8" s="61" customFormat="1" hidden="1">
      <c r="A11158" s="1"/>
      <c r="B11158" s="1"/>
      <c r="C11158" s="1"/>
      <c r="D11158" s="1"/>
      <c r="E11158" s="62"/>
      <c r="F11158" s="6"/>
      <c r="G11158" s="65"/>
      <c r="H11158" s="65"/>
    </row>
    <row r="11159" spans="1:8" s="61" customFormat="1" hidden="1">
      <c r="A11159" s="1"/>
      <c r="B11159" s="1"/>
      <c r="C11159" s="1"/>
      <c r="D11159" s="1"/>
      <c r="E11159" s="62"/>
      <c r="F11159" s="6"/>
      <c r="G11159" s="65"/>
      <c r="H11159" s="65"/>
    </row>
    <row r="11160" spans="1:8" s="61" customFormat="1" hidden="1">
      <c r="A11160" s="1"/>
      <c r="B11160" s="1"/>
      <c r="C11160" s="1"/>
      <c r="D11160" s="1"/>
      <c r="E11160" s="62"/>
      <c r="F11160" s="6"/>
      <c r="G11160" s="65"/>
      <c r="H11160" s="65"/>
    </row>
    <row r="11161" spans="1:8" s="61" customFormat="1" hidden="1">
      <c r="A11161" s="1"/>
      <c r="B11161" s="1"/>
      <c r="C11161" s="1"/>
      <c r="D11161" s="1"/>
      <c r="E11161" s="62"/>
      <c r="F11161" s="6"/>
      <c r="G11161" s="65"/>
      <c r="H11161" s="65"/>
    </row>
    <row r="11162" spans="1:8" s="61" customFormat="1" hidden="1">
      <c r="A11162" s="1"/>
      <c r="B11162" s="1"/>
      <c r="C11162" s="1"/>
      <c r="D11162" s="1"/>
      <c r="E11162" s="62"/>
      <c r="F11162" s="6"/>
      <c r="G11162" s="65"/>
      <c r="H11162" s="65"/>
    </row>
    <row r="11163" spans="1:8" s="61" customFormat="1" hidden="1">
      <c r="A11163" s="1"/>
      <c r="B11163" s="1"/>
      <c r="C11163" s="1"/>
      <c r="D11163" s="1"/>
      <c r="E11163" s="62"/>
      <c r="F11163" s="6"/>
      <c r="G11163" s="65"/>
      <c r="H11163" s="65"/>
    </row>
    <row r="11164" spans="1:8" s="61" customFormat="1" hidden="1">
      <c r="A11164" s="1"/>
      <c r="B11164" s="1"/>
      <c r="C11164" s="1"/>
      <c r="D11164" s="1"/>
      <c r="E11164" s="62"/>
      <c r="F11164" s="6"/>
      <c r="G11164" s="65"/>
      <c r="H11164" s="65"/>
    </row>
    <row r="11165" spans="1:8" s="61" customFormat="1" hidden="1">
      <c r="A11165" s="1"/>
      <c r="B11165" s="1"/>
      <c r="C11165" s="1"/>
      <c r="D11165" s="1"/>
      <c r="E11165" s="62"/>
      <c r="F11165" s="6"/>
      <c r="G11165" s="65"/>
      <c r="H11165" s="65"/>
    </row>
    <row r="11166" spans="1:8" s="61" customFormat="1" hidden="1">
      <c r="A11166" s="1"/>
      <c r="B11166" s="1"/>
      <c r="C11166" s="1"/>
      <c r="D11166" s="1"/>
      <c r="E11166" s="62"/>
      <c r="F11166" s="6"/>
      <c r="G11166" s="65"/>
      <c r="H11166" s="65"/>
    </row>
    <row r="11167" spans="1:8" s="61" customFormat="1" hidden="1">
      <c r="A11167" s="1"/>
      <c r="B11167" s="1"/>
      <c r="C11167" s="1"/>
      <c r="D11167" s="1"/>
      <c r="E11167" s="62"/>
      <c r="F11167" s="6"/>
      <c r="G11167" s="65"/>
      <c r="H11167" s="65"/>
    </row>
    <row r="11168" spans="1:8" s="61" customFormat="1" hidden="1">
      <c r="A11168" s="1"/>
      <c r="B11168" s="1"/>
      <c r="C11168" s="1"/>
      <c r="D11168" s="1"/>
      <c r="E11168" s="62"/>
      <c r="F11168" s="6"/>
      <c r="G11168" s="65"/>
      <c r="H11168" s="65"/>
    </row>
    <row r="11169" spans="1:8" s="61" customFormat="1" hidden="1">
      <c r="A11169" s="1"/>
      <c r="B11169" s="1"/>
      <c r="C11169" s="1"/>
      <c r="D11169" s="1"/>
      <c r="E11169" s="62"/>
      <c r="F11169" s="6"/>
      <c r="G11169" s="65"/>
      <c r="H11169" s="65"/>
    </row>
    <row r="11170" spans="1:8" s="61" customFormat="1" hidden="1">
      <c r="A11170" s="1"/>
      <c r="B11170" s="1"/>
      <c r="C11170" s="1"/>
      <c r="D11170" s="1"/>
      <c r="E11170" s="62"/>
      <c r="F11170" s="6"/>
      <c r="G11170" s="65"/>
      <c r="H11170" s="65"/>
    </row>
    <row r="11171" spans="1:8" s="61" customFormat="1" hidden="1">
      <c r="A11171" s="1"/>
      <c r="B11171" s="1"/>
      <c r="C11171" s="1"/>
      <c r="D11171" s="1"/>
      <c r="E11171" s="62"/>
      <c r="F11171" s="6"/>
      <c r="G11171" s="65"/>
      <c r="H11171" s="65"/>
    </row>
    <row r="11172" spans="1:8" s="61" customFormat="1" hidden="1">
      <c r="A11172" s="1"/>
      <c r="B11172" s="1"/>
      <c r="C11172" s="1"/>
      <c r="D11172" s="1"/>
      <c r="E11172" s="62"/>
      <c r="F11172" s="6"/>
      <c r="G11172" s="65"/>
      <c r="H11172" s="65"/>
    </row>
    <row r="11173" spans="1:8" s="61" customFormat="1" hidden="1">
      <c r="A11173" s="1"/>
      <c r="B11173" s="1"/>
      <c r="C11173" s="1"/>
      <c r="D11173" s="1"/>
      <c r="E11173" s="62"/>
      <c r="F11173" s="6"/>
      <c r="G11173" s="65"/>
      <c r="H11173" s="65"/>
    </row>
    <row r="11174" spans="1:8" s="61" customFormat="1" hidden="1">
      <c r="A11174" s="1"/>
      <c r="B11174" s="1"/>
      <c r="C11174" s="1"/>
      <c r="D11174" s="1"/>
      <c r="E11174" s="62"/>
      <c r="F11174" s="6"/>
      <c r="G11174" s="65"/>
      <c r="H11174" s="65"/>
    </row>
    <row r="11175" spans="1:8" s="61" customFormat="1" hidden="1">
      <c r="A11175" s="1"/>
      <c r="B11175" s="1"/>
      <c r="C11175" s="1"/>
      <c r="D11175" s="1"/>
      <c r="E11175" s="62"/>
      <c r="F11175" s="6"/>
      <c r="G11175" s="65"/>
      <c r="H11175" s="65"/>
    </row>
    <row r="11176" spans="1:8" s="61" customFormat="1" hidden="1">
      <c r="A11176" s="1"/>
      <c r="B11176" s="1"/>
      <c r="C11176" s="1"/>
      <c r="D11176" s="1"/>
      <c r="E11176" s="62"/>
      <c r="F11176" s="6"/>
      <c r="G11176" s="65"/>
      <c r="H11176" s="65"/>
    </row>
    <row r="11177" spans="1:8" s="61" customFormat="1" hidden="1">
      <c r="A11177" s="1"/>
      <c r="B11177" s="1"/>
      <c r="C11177" s="1"/>
      <c r="D11177" s="1"/>
      <c r="E11177" s="62"/>
      <c r="F11177" s="6"/>
      <c r="G11177" s="65"/>
      <c r="H11177" s="65"/>
    </row>
    <row r="11178" spans="1:8" s="61" customFormat="1" hidden="1">
      <c r="A11178" s="1"/>
      <c r="B11178" s="1"/>
      <c r="C11178" s="1"/>
      <c r="D11178" s="1"/>
      <c r="E11178" s="62"/>
      <c r="F11178" s="6"/>
      <c r="G11178" s="65"/>
      <c r="H11178" s="65"/>
    </row>
    <row r="11179" spans="1:8" s="61" customFormat="1" hidden="1">
      <c r="A11179" s="1"/>
      <c r="B11179" s="1"/>
      <c r="C11179" s="1"/>
      <c r="D11179" s="1"/>
      <c r="E11179" s="62"/>
      <c r="F11179" s="6"/>
      <c r="G11179" s="65"/>
      <c r="H11179" s="65"/>
    </row>
    <row r="11180" spans="1:8" s="61" customFormat="1" hidden="1">
      <c r="A11180" s="1"/>
      <c r="B11180" s="1"/>
      <c r="C11180" s="1"/>
      <c r="D11180" s="1"/>
      <c r="E11180" s="62"/>
      <c r="F11180" s="6"/>
      <c r="G11180" s="65"/>
      <c r="H11180" s="65"/>
    </row>
    <row r="11181" spans="1:8" s="61" customFormat="1" hidden="1">
      <c r="A11181" s="1"/>
      <c r="B11181" s="1"/>
      <c r="C11181" s="1"/>
      <c r="D11181" s="1"/>
      <c r="E11181" s="62"/>
      <c r="F11181" s="6"/>
      <c r="G11181" s="65"/>
      <c r="H11181" s="65"/>
    </row>
    <row r="11182" spans="1:8" s="61" customFormat="1" hidden="1">
      <c r="A11182" s="1"/>
      <c r="B11182" s="1"/>
      <c r="C11182" s="1"/>
      <c r="D11182" s="1"/>
      <c r="E11182" s="62"/>
      <c r="F11182" s="6"/>
      <c r="G11182" s="65"/>
      <c r="H11182" s="65"/>
    </row>
    <row r="11183" spans="1:8" s="61" customFormat="1" hidden="1">
      <c r="A11183" s="1"/>
      <c r="B11183" s="1"/>
      <c r="C11183" s="1"/>
      <c r="D11183" s="1"/>
      <c r="E11183" s="62"/>
      <c r="F11183" s="6"/>
      <c r="G11183" s="65"/>
      <c r="H11183" s="65"/>
    </row>
    <row r="11184" spans="1:8" s="61" customFormat="1" hidden="1">
      <c r="A11184" s="1"/>
      <c r="B11184" s="1"/>
      <c r="C11184" s="1"/>
      <c r="D11184" s="1"/>
      <c r="E11184" s="62"/>
      <c r="F11184" s="6"/>
      <c r="G11184" s="65"/>
      <c r="H11184" s="65"/>
    </row>
    <row r="11185" spans="1:8" s="61" customFormat="1" hidden="1">
      <c r="A11185" s="1"/>
      <c r="B11185" s="1"/>
      <c r="C11185" s="1"/>
      <c r="D11185" s="1"/>
      <c r="E11185" s="62"/>
      <c r="F11185" s="6"/>
      <c r="G11185" s="65"/>
      <c r="H11185" s="65"/>
    </row>
    <row r="11186" spans="1:8" s="61" customFormat="1" hidden="1">
      <c r="A11186" s="1"/>
      <c r="B11186" s="1"/>
      <c r="C11186" s="1"/>
      <c r="D11186" s="1"/>
      <c r="E11186" s="62"/>
      <c r="F11186" s="6"/>
      <c r="G11186" s="65"/>
      <c r="H11186" s="65"/>
    </row>
    <row r="11187" spans="1:8" s="61" customFormat="1" hidden="1">
      <c r="A11187" s="1"/>
      <c r="B11187" s="1"/>
      <c r="C11187" s="1"/>
      <c r="D11187" s="1"/>
      <c r="E11187" s="62"/>
      <c r="F11187" s="6"/>
      <c r="G11187" s="65"/>
      <c r="H11187" s="65"/>
    </row>
    <row r="11188" spans="1:8" s="61" customFormat="1" hidden="1">
      <c r="A11188" s="1"/>
      <c r="B11188" s="1"/>
      <c r="C11188" s="1"/>
      <c r="D11188" s="1"/>
      <c r="E11188" s="62"/>
      <c r="F11188" s="6"/>
      <c r="G11188" s="65"/>
      <c r="H11188" s="65"/>
    </row>
    <row r="11189" spans="1:8" s="61" customFormat="1" hidden="1">
      <c r="A11189" s="1"/>
      <c r="B11189" s="1"/>
      <c r="C11189" s="1"/>
      <c r="D11189" s="1"/>
      <c r="E11189" s="62"/>
      <c r="F11189" s="6"/>
      <c r="G11189" s="65"/>
      <c r="H11189" s="65"/>
    </row>
    <row r="11190" spans="1:8" s="61" customFormat="1" hidden="1">
      <c r="A11190" s="1"/>
      <c r="B11190" s="1"/>
      <c r="C11190" s="1"/>
      <c r="D11190" s="1"/>
      <c r="E11190" s="62"/>
      <c r="F11190" s="6"/>
      <c r="G11190" s="65"/>
      <c r="H11190" s="65"/>
    </row>
    <row r="11191" spans="1:8" s="61" customFormat="1" hidden="1">
      <c r="A11191" s="1"/>
      <c r="B11191" s="1"/>
      <c r="C11191" s="1"/>
      <c r="D11191" s="1"/>
      <c r="E11191" s="62"/>
      <c r="F11191" s="6"/>
      <c r="G11191" s="65"/>
      <c r="H11191" s="65"/>
    </row>
    <row r="11192" spans="1:8" s="61" customFormat="1" hidden="1">
      <c r="A11192" s="1"/>
      <c r="B11192" s="1"/>
      <c r="C11192" s="1"/>
      <c r="D11192" s="1"/>
      <c r="E11192" s="62"/>
      <c r="F11192" s="6"/>
      <c r="G11192" s="65"/>
      <c r="H11192" s="65"/>
    </row>
    <row r="11193" spans="1:8" s="61" customFormat="1" hidden="1">
      <c r="A11193" s="1"/>
      <c r="B11193" s="1"/>
      <c r="C11193" s="1"/>
      <c r="D11193" s="1"/>
      <c r="E11193" s="62"/>
      <c r="F11193" s="6"/>
      <c r="G11193" s="65"/>
      <c r="H11193" s="65"/>
    </row>
    <row r="11194" spans="1:8" s="61" customFormat="1" hidden="1">
      <c r="A11194" s="1"/>
      <c r="B11194" s="1"/>
      <c r="C11194" s="1"/>
      <c r="D11194" s="1"/>
      <c r="E11194" s="62"/>
      <c r="F11194" s="6"/>
      <c r="G11194" s="65"/>
      <c r="H11194" s="65"/>
    </row>
    <row r="11195" spans="1:8" s="61" customFormat="1" hidden="1">
      <c r="A11195" s="1"/>
      <c r="B11195" s="1"/>
      <c r="C11195" s="1"/>
      <c r="D11195" s="1"/>
      <c r="E11195" s="62"/>
      <c r="F11195" s="6"/>
      <c r="G11195" s="65"/>
      <c r="H11195" s="65"/>
    </row>
    <row r="11196" spans="1:8" s="61" customFormat="1" hidden="1">
      <c r="A11196" s="1"/>
      <c r="B11196" s="1"/>
      <c r="C11196" s="1"/>
      <c r="D11196" s="1"/>
      <c r="E11196" s="62"/>
      <c r="F11196" s="6"/>
      <c r="G11196" s="65"/>
      <c r="H11196" s="65"/>
    </row>
    <row r="11197" spans="1:8" s="61" customFormat="1" hidden="1">
      <c r="A11197" s="1"/>
      <c r="B11197" s="1"/>
      <c r="C11197" s="1"/>
      <c r="D11197" s="1"/>
      <c r="E11197" s="62"/>
      <c r="F11197" s="6"/>
      <c r="G11197" s="65"/>
      <c r="H11197" s="65"/>
    </row>
    <row r="11198" spans="1:8" s="61" customFormat="1" hidden="1">
      <c r="A11198" s="1"/>
      <c r="B11198" s="1"/>
      <c r="C11198" s="1"/>
      <c r="D11198" s="1"/>
      <c r="E11198" s="62"/>
      <c r="F11198" s="6"/>
      <c r="G11198" s="65"/>
      <c r="H11198" s="65"/>
    </row>
    <row r="11199" spans="1:8" s="61" customFormat="1" hidden="1">
      <c r="A11199" s="1"/>
      <c r="B11199" s="1"/>
      <c r="C11199" s="1"/>
      <c r="D11199" s="1"/>
      <c r="E11199" s="62"/>
      <c r="F11199" s="6"/>
      <c r="G11199" s="65"/>
      <c r="H11199" s="65"/>
    </row>
    <row r="11200" spans="1:8" s="61" customFormat="1" hidden="1">
      <c r="A11200" s="1"/>
      <c r="B11200" s="1"/>
      <c r="C11200" s="1"/>
      <c r="D11200" s="1"/>
      <c r="E11200" s="62"/>
      <c r="F11200" s="6"/>
      <c r="G11200" s="65"/>
      <c r="H11200" s="65"/>
    </row>
    <row r="11201" spans="1:8" s="61" customFormat="1" hidden="1">
      <c r="A11201" s="1"/>
      <c r="B11201" s="1"/>
      <c r="C11201" s="1"/>
      <c r="D11201" s="1"/>
      <c r="E11201" s="62"/>
      <c r="F11201" s="6"/>
      <c r="G11201" s="65"/>
      <c r="H11201" s="65"/>
    </row>
    <row r="11202" spans="1:8" s="61" customFormat="1" hidden="1">
      <c r="A11202" s="1"/>
      <c r="B11202" s="1"/>
      <c r="C11202" s="1"/>
      <c r="D11202" s="1"/>
      <c r="E11202" s="62"/>
      <c r="F11202" s="6"/>
      <c r="G11202" s="65"/>
      <c r="H11202" s="65"/>
    </row>
    <row r="11203" spans="1:8" s="61" customFormat="1" hidden="1">
      <c r="A11203" s="1"/>
      <c r="B11203" s="1"/>
      <c r="C11203" s="1"/>
      <c r="D11203" s="1"/>
      <c r="E11203" s="62"/>
      <c r="F11203" s="6"/>
      <c r="G11203" s="65"/>
      <c r="H11203" s="65"/>
    </row>
    <row r="11204" spans="1:8" s="61" customFormat="1" hidden="1">
      <c r="A11204" s="1"/>
      <c r="B11204" s="1"/>
      <c r="C11204" s="1"/>
      <c r="D11204" s="1"/>
      <c r="E11204" s="62"/>
      <c r="F11204" s="6"/>
      <c r="G11204" s="65"/>
      <c r="H11204" s="65"/>
    </row>
    <row r="11205" spans="1:8" s="61" customFormat="1" hidden="1">
      <c r="A11205" s="1"/>
      <c r="B11205" s="1"/>
      <c r="C11205" s="1"/>
      <c r="D11205" s="1"/>
      <c r="E11205" s="62"/>
      <c r="F11205" s="6"/>
      <c r="G11205" s="65"/>
      <c r="H11205" s="65"/>
    </row>
    <row r="11206" spans="1:8" s="61" customFormat="1" hidden="1">
      <c r="A11206" s="1"/>
      <c r="B11206" s="1"/>
      <c r="C11206" s="1"/>
      <c r="D11206" s="1"/>
      <c r="E11206" s="62"/>
      <c r="F11206" s="6"/>
      <c r="G11206" s="65"/>
      <c r="H11206" s="65"/>
    </row>
    <row r="11207" spans="1:8" s="61" customFormat="1" hidden="1">
      <c r="A11207" s="1"/>
      <c r="B11207" s="1"/>
      <c r="C11207" s="1"/>
      <c r="D11207" s="1"/>
      <c r="E11207" s="62"/>
      <c r="F11207" s="6"/>
      <c r="G11207" s="65"/>
      <c r="H11207" s="65"/>
    </row>
    <row r="11208" spans="1:8" s="61" customFormat="1" hidden="1">
      <c r="A11208" s="1"/>
      <c r="B11208" s="1"/>
      <c r="C11208" s="1"/>
      <c r="D11208" s="1"/>
      <c r="E11208" s="62"/>
      <c r="F11208" s="6"/>
      <c r="G11208" s="65"/>
      <c r="H11208" s="65"/>
    </row>
    <row r="11209" spans="1:8" s="61" customFormat="1" hidden="1">
      <c r="A11209" s="1"/>
      <c r="B11209" s="1"/>
      <c r="C11209" s="1"/>
      <c r="D11209" s="1"/>
      <c r="E11209" s="62"/>
      <c r="F11209" s="6"/>
      <c r="G11209" s="65"/>
      <c r="H11209" s="65"/>
    </row>
    <row r="11210" spans="1:8" s="61" customFormat="1" hidden="1">
      <c r="A11210" s="1"/>
      <c r="B11210" s="1"/>
      <c r="C11210" s="1"/>
      <c r="D11210" s="1"/>
      <c r="E11210" s="62"/>
      <c r="F11210" s="6"/>
      <c r="G11210" s="65"/>
      <c r="H11210" s="65"/>
    </row>
    <row r="11211" spans="1:8" s="61" customFormat="1" hidden="1">
      <c r="A11211" s="1"/>
      <c r="B11211" s="1"/>
      <c r="C11211" s="1"/>
      <c r="D11211" s="1"/>
      <c r="E11211" s="62"/>
      <c r="F11211" s="6"/>
      <c r="G11211" s="65"/>
      <c r="H11211" s="65"/>
    </row>
    <row r="11212" spans="1:8" s="61" customFormat="1" hidden="1">
      <c r="A11212" s="1"/>
      <c r="B11212" s="1"/>
      <c r="C11212" s="1"/>
      <c r="D11212" s="1"/>
      <c r="E11212" s="62"/>
      <c r="F11212" s="6"/>
      <c r="G11212" s="65"/>
      <c r="H11212" s="65"/>
    </row>
    <row r="11213" spans="1:8" s="61" customFormat="1" hidden="1">
      <c r="A11213" s="1"/>
      <c r="B11213" s="1"/>
      <c r="C11213" s="1"/>
      <c r="D11213" s="1"/>
      <c r="E11213" s="62"/>
      <c r="F11213" s="6"/>
      <c r="G11213" s="65"/>
      <c r="H11213" s="65"/>
    </row>
    <row r="11214" spans="1:8" s="61" customFormat="1" hidden="1">
      <c r="A11214" s="1"/>
      <c r="B11214" s="1"/>
      <c r="C11214" s="1"/>
      <c r="D11214" s="1"/>
      <c r="E11214" s="62"/>
      <c r="F11214" s="6"/>
      <c r="G11214" s="65"/>
      <c r="H11214" s="65"/>
    </row>
    <row r="11215" spans="1:8" s="61" customFormat="1" hidden="1">
      <c r="A11215" s="1"/>
      <c r="B11215" s="1"/>
      <c r="C11215" s="1"/>
      <c r="D11215" s="1"/>
      <c r="E11215" s="62"/>
      <c r="F11215" s="6"/>
      <c r="G11215" s="65"/>
      <c r="H11215" s="65"/>
    </row>
    <row r="11216" spans="1:8" s="61" customFormat="1" hidden="1">
      <c r="A11216" s="1"/>
      <c r="B11216" s="1"/>
      <c r="C11216" s="1"/>
      <c r="D11216" s="1"/>
      <c r="E11216" s="62"/>
      <c r="F11216" s="6"/>
      <c r="G11216" s="65"/>
      <c r="H11216" s="65"/>
    </row>
    <row r="11217" spans="1:8" s="61" customFormat="1" hidden="1">
      <c r="A11217" s="1"/>
      <c r="B11217" s="1"/>
      <c r="C11217" s="1"/>
      <c r="D11217" s="1"/>
      <c r="E11217" s="62"/>
      <c r="F11217" s="6"/>
      <c r="G11217" s="65"/>
      <c r="H11217" s="65"/>
    </row>
    <row r="11218" spans="1:8" s="61" customFormat="1" hidden="1">
      <c r="A11218" s="1"/>
      <c r="B11218" s="1"/>
      <c r="C11218" s="1"/>
      <c r="D11218" s="1"/>
      <c r="E11218" s="62"/>
      <c r="F11218" s="6"/>
      <c r="G11218" s="65"/>
      <c r="H11218" s="65"/>
    </row>
    <row r="11219" spans="1:8" s="61" customFormat="1" hidden="1">
      <c r="A11219" s="1"/>
      <c r="B11219" s="1"/>
      <c r="C11219" s="1"/>
      <c r="D11219" s="1"/>
      <c r="E11219" s="62"/>
      <c r="F11219" s="6"/>
      <c r="G11219" s="65"/>
      <c r="H11219" s="65"/>
    </row>
    <row r="11220" spans="1:8" s="61" customFormat="1" hidden="1">
      <c r="A11220" s="1"/>
      <c r="B11220" s="1"/>
      <c r="C11220" s="1"/>
      <c r="D11220" s="1"/>
      <c r="E11220" s="62"/>
      <c r="F11220" s="6"/>
      <c r="G11220" s="65"/>
      <c r="H11220" s="65"/>
    </row>
    <row r="11221" spans="1:8" s="61" customFormat="1" hidden="1">
      <c r="A11221" s="1"/>
      <c r="B11221" s="1"/>
      <c r="C11221" s="1"/>
      <c r="D11221" s="1"/>
      <c r="E11221" s="62"/>
      <c r="F11221" s="6"/>
      <c r="G11221" s="65"/>
      <c r="H11221" s="65"/>
    </row>
    <row r="11222" spans="1:8" s="61" customFormat="1" hidden="1">
      <c r="A11222" s="1"/>
      <c r="B11222" s="1"/>
      <c r="C11222" s="1"/>
      <c r="D11222" s="1"/>
      <c r="E11222" s="62"/>
      <c r="F11222" s="6"/>
      <c r="G11222" s="65"/>
      <c r="H11222" s="65"/>
    </row>
    <row r="11223" spans="1:8" s="61" customFormat="1" hidden="1">
      <c r="A11223" s="1"/>
      <c r="B11223" s="1"/>
      <c r="C11223" s="1"/>
      <c r="D11223" s="1"/>
      <c r="E11223" s="62"/>
      <c r="F11223" s="6"/>
      <c r="G11223" s="65"/>
      <c r="H11223" s="65"/>
    </row>
    <row r="11224" spans="1:8" s="61" customFormat="1" hidden="1">
      <c r="A11224" s="1"/>
      <c r="B11224" s="1"/>
      <c r="C11224" s="1"/>
      <c r="D11224" s="1"/>
      <c r="E11224" s="62"/>
      <c r="F11224" s="6"/>
      <c r="G11224" s="65"/>
      <c r="H11224" s="65"/>
    </row>
    <row r="11225" spans="1:8" s="61" customFormat="1" hidden="1">
      <c r="A11225" s="1"/>
      <c r="B11225" s="1"/>
      <c r="C11225" s="1"/>
      <c r="D11225" s="1"/>
      <c r="E11225" s="62"/>
      <c r="F11225" s="6"/>
      <c r="G11225" s="65"/>
      <c r="H11225" s="65"/>
    </row>
    <row r="11226" spans="1:8" s="61" customFormat="1" hidden="1">
      <c r="A11226" s="1"/>
      <c r="B11226" s="1"/>
      <c r="C11226" s="1"/>
      <c r="D11226" s="1"/>
      <c r="E11226" s="62"/>
      <c r="F11226" s="6"/>
      <c r="G11226" s="65"/>
      <c r="H11226" s="65"/>
    </row>
    <row r="11227" spans="1:8" s="61" customFormat="1" hidden="1">
      <c r="A11227" s="1"/>
      <c r="B11227" s="1"/>
      <c r="C11227" s="1"/>
      <c r="D11227" s="1"/>
      <c r="E11227" s="62"/>
      <c r="F11227" s="6"/>
      <c r="G11227" s="65"/>
      <c r="H11227" s="65"/>
    </row>
    <row r="11228" spans="1:8" s="61" customFormat="1" hidden="1">
      <c r="A11228" s="1"/>
      <c r="B11228" s="1"/>
      <c r="C11228" s="1"/>
      <c r="D11228" s="1"/>
      <c r="E11228" s="62"/>
      <c r="F11228" s="6"/>
      <c r="G11228" s="65"/>
      <c r="H11228" s="65"/>
    </row>
    <row r="11229" spans="1:8" s="61" customFormat="1" hidden="1">
      <c r="A11229" s="1"/>
      <c r="B11229" s="1"/>
      <c r="C11229" s="1"/>
      <c r="D11229" s="1"/>
      <c r="E11229" s="62"/>
      <c r="F11229" s="6"/>
      <c r="G11229" s="65"/>
      <c r="H11229" s="65"/>
    </row>
    <row r="11230" spans="1:8" s="61" customFormat="1" hidden="1">
      <c r="A11230" s="1"/>
      <c r="B11230" s="1"/>
      <c r="C11230" s="1"/>
      <c r="D11230" s="1"/>
      <c r="E11230" s="62"/>
      <c r="F11230" s="6"/>
      <c r="G11230" s="65"/>
      <c r="H11230" s="65"/>
    </row>
    <row r="11231" spans="1:8" s="61" customFormat="1" hidden="1">
      <c r="A11231" s="1"/>
      <c r="B11231" s="1"/>
      <c r="C11231" s="1"/>
      <c r="D11231" s="1"/>
      <c r="E11231" s="62"/>
      <c r="F11231" s="6"/>
      <c r="G11231" s="65"/>
      <c r="H11231" s="65"/>
    </row>
    <row r="11232" spans="1:8" s="61" customFormat="1" hidden="1">
      <c r="A11232" s="1"/>
      <c r="B11232" s="1"/>
      <c r="C11232" s="1"/>
      <c r="D11232" s="1"/>
      <c r="E11232" s="62"/>
      <c r="F11232" s="6"/>
      <c r="G11232" s="65"/>
      <c r="H11232" s="65"/>
    </row>
    <row r="11233" spans="1:8" s="61" customFormat="1" hidden="1">
      <c r="A11233" s="1"/>
      <c r="B11233" s="1"/>
      <c r="C11233" s="1"/>
      <c r="D11233" s="1"/>
      <c r="E11233" s="62"/>
      <c r="F11233" s="6"/>
      <c r="G11233" s="65"/>
      <c r="H11233" s="65"/>
    </row>
    <row r="11234" spans="1:8" s="61" customFormat="1" hidden="1">
      <c r="A11234" s="1"/>
      <c r="B11234" s="1"/>
      <c r="C11234" s="1"/>
      <c r="D11234" s="1"/>
      <c r="E11234" s="62"/>
      <c r="F11234" s="6"/>
      <c r="G11234" s="65"/>
      <c r="H11234" s="65"/>
    </row>
    <row r="11235" spans="1:8" s="61" customFormat="1" hidden="1">
      <c r="A11235" s="1"/>
      <c r="B11235" s="1"/>
      <c r="C11235" s="1"/>
      <c r="D11235" s="1"/>
      <c r="E11235" s="62"/>
      <c r="F11235" s="6"/>
      <c r="G11235" s="65"/>
      <c r="H11235" s="65"/>
    </row>
    <row r="11236" spans="1:8" s="61" customFormat="1" hidden="1">
      <c r="A11236" s="1"/>
      <c r="B11236" s="1"/>
      <c r="C11236" s="1"/>
      <c r="D11236" s="1"/>
      <c r="E11236" s="62"/>
      <c r="F11236" s="6"/>
      <c r="G11236" s="65"/>
      <c r="H11236" s="65"/>
    </row>
    <row r="11237" spans="1:8" s="61" customFormat="1" hidden="1">
      <c r="A11237" s="1"/>
      <c r="B11237" s="1"/>
      <c r="C11237" s="1"/>
      <c r="D11237" s="1"/>
      <c r="E11237" s="62"/>
      <c r="F11237" s="6"/>
      <c r="G11237" s="65"/>
      <c r="H11237" s="65"/>
    </row>
    <row r="11238" spans="1:8" s="61" customFormat="1" hidden="1">
      <c r="A11238" s="1"/>
      <c r="B11238" s="1"/>
      <c r="C11238" s="1"/>
      <c r="D11238" s="1"/>
      <c r="E11238" s="62"/>
      <c r="F11238" s="6"/>
      <c r="G11238" s="65"/>
      <c r="H11238" s="65"/>
    </row>
    <row r="11239" spans="1:8" s="61" customFormat="1" hidden="1">
      <c r="A11239" s="1"/>
      <c r="B11239" s="1"/>
      <c r="C11239" s="1"/>
      <c r="D11239" s="1"/>
      <c r="E11239" s="62"/>
      <c r="F11239" s="6"/>
      <c r="G11239" s="65"/>
      <c r="H11239" s="65"/>
    </row>
    <row r="11240" spans="1:8" s="61" customFormat="1" hidden="1">
      <c r="A11240" s="1"/>
      <c r="B11240" s="1"/>
      <c r="C11240" s="1"/>
      <c r="D11240" s="1"/>
      <c r="E11240" s="62"/>
      <c r="F11240" s="6"/>
      <c r="G11240" s="65"/>
      <c r="H11240" s="65"/>
    </row>
    <row r="11241" spans="1:8" s="61" customFormat="1" hidden="1">
      <c r="A11241" s="1"/>
      <c r="B11241" s="1"/>
      <c r="C11241" s="1"/>
      <c r="D11241" s="1"/>
      <c r="E11241" s="62"/>
      <c r="F11241" s="6"/>
      <c r="G11241" s="65"/>
      <c r="H11241" s="65"/>
    </row>
    <row r="11242" spans="1:8" s="61" customFormat="1" hidden="1">
      <c r="A11242" s="1"/>
      <c r="B11242" s="1"/>
      <c r="C11242" s="1"/>
      <c r="D11242" s="1"/>
      <c r="E11242" s="62"/>
      <c r="F11242" s="6"/>
      <c r="G11242" s="65"/>
      <c r="H11242" s="65"/>
    </row>
    <row r="11243" spans="1:8" s="61" customFormat="1" hidden="1">
      <c r="A11243" s="1"/>
      <c r="B11243" s="1"/>
      <c r="C11243" s="1"/>
      <c r="D11243" s="1"/>
      <c r="E11243" s="62"/>
      <c r="F11243" s="6"/>
      <c r="G11243" s="65"/>
      <c r="H11243" s="65"/>
    </row>
    <row r="11244" spans="1:8" s="61" customFormat="1" hidden="1">
      <c r="A11244" s="1"/>
      <c r="B11244" s="1"/>
      <c r="C11244" s="1"/>
      <c r="D11244" s="1"/>
      <c r="E11244" s="62"/>
      <c r="F11244" s="6"/>
      <c r="G11244" s="65"/>
      <c r="H11244" s="65"/>
    </row>
    <row r="11245" spans="1:8" s="61" customFormat="1" hidden="1">
      <c r="A11245" s="1"/>
      <c r="B11245" s="1"/>
      <c r="C11245" s="1"/>
      <c r="D11245" s="1"/>
      <c r="E11245" s="62"/>
      <c r="F11245" s="6"/>
      <c r="G11245" s="65"/>
      <c r="H11245" s="65"/>
    </row>
    <row r="11246" spans="1:8" s="61" customFormat="1" hidden="1">
      <c r="A11246" s="1"/>
      <c r="B11246" s="1"/>
      <c r="C11246" s="1"/>
      <c r="D11246" s="1"/>
      <c r="E11246" s="62"/>
      <c r="F11246" s="6"/>
      <c r="G11246" s="65"/>
      <c r="H11246" s="65"/>
    </row>
    <row r="11247" spans="1:8" s="61" customFormat="1" hidden="1">
      <c r="A11247" s="1"/>
      <c r="B11247" s="1"/>
      <c r="C11247" s="1"/>
      <c r="D11247" s="1"/>
      <c r="E11247" s="62"/>
      <c r="F11247" s="6"/>
      <c r="G11247" s="65"/>
      <c r="H11247" s="65"/>
    </row>
    <row r="11248" spans="1:8" s="61" customFormat="1" hidden="1">
      <c r="A11248" s="1"/>
      <c r="B11248" s="1"/>
      <c r="C11248" s="1"/>
      <c r="D11248" s="1"/>
      <c r="E11248" s="62"/>
      <c r="F11248" s="6"/>
      <c r="G11248" s="65"/>
      <c r="H11248" s="65"/>
    </row>
    <row r="11249" spans="1:8" s="61" customFormat="1" hidden="1">
      <c r="A11249" s="1"/>
      <c r="B11249" s="1"/>
      <c r="C11249" s="1"/>
      <c r="D11249" s="1"/>
      <c r="E11249" s="62"/>
      <c r="F11249" s="6"/>
      <c r="G11249" s="65"/>
      <c r="H11249" s="65"/>
    </row>
    <row r="11250" spans="1:8" s="61" customFormat="1" hidden="1">
      <c r="A11250" s="1"/>
      <c r="B11250" s="1"/>
      <c r="C11250" s="1"/>
      <c r="D11250" s="1"/>
      <c r="E11250" s="62"/>
      <c r="F11250" s="6"/>
      <c r="G11250" s="65"/>
      <c r="H11250" s="65"/>
    </row>
    <row r="11251" spans="1:8" s="61" customFormat="1" hidden="1">
      <c r="A11251" s="1"/>
      <c r="B11251" s="1"/>
      <c r="C11251" s="1"/>
      <c r="D11251" s="1"/>
      <c r="E11251" s="62"/>
      <c r="F11251" s="6"/>
      <c r="G11251" s="65"/>
      <c r="H11251" s="65"/>
    </row>
    <row r="11252" spans="1:8" s="61" customFormat="1" hidden="1">
      <c r="A11252" s="1"/>
      <c r="B11252" s="1"/>
      <c r="C11252" s="1"/>
      <c r="D11252" s="1"/>
      <c r="E11252" s="62"/>
      <c r="F11252" s="6"/>
      <c r="G11252" s="65"/>
      <c r="H11252" s="65"/>
    </row>
    <row r="11253" spans="1:8" s="61" customFormat="1" hidden="1">
      <c r="A11253" s="1"/>
      <c r="B11253" s="1"/>
      <c r="C11253" s="1"/>
      <c r="D11253" s="1"/>
      <c r="E11253" s="62"/>
      <c r="F11253" s="6"/>
      <c r="G11253" s="65"/>
      <c r="H11253" s="65"/>
    </row>
    <row r="11254" spans="1:8" s="61" customFormat="1" hidden="1">
      <c r="A11254" s="1"/>
      <c r="B11254" s="1"/>
      <c r="C11254" s="1"/>
      <c r="D11254" s="1"/>
      <c r="E11254" s="62"/>
      <c r="F11254" s="6"/>
      <c r="G11254" s="65"/>
      <c r="H11254" s="65"/>
    </row>
    <row r="11255" spans="1:8" s="61" customFormat="1" hidden="1">
      <c r="A11255" s="1"/>
      <c r="B11255" s="1"/>
      <c r="C11255" s="1"/>
      <c r="D11255" s="1"/>
      <c r="E11255" s="62"/>
      <c r="F11255" s="6"/>
      <c r="G11255" s="65"/>
      <c r="H11255" s="65"/>
    </row>
    <row r="11256" spans="1:8" s="61" customFormat="1" hidden="1">
      <c r="A11256" s="1"/>
      <c r="B11256" s="1"/>
      <c r="C11256" s="1"/>
      <c r="D11256" s="1"/>
      <c r="E11256" s="62"/>
      <c r="F11256" s="6"/>
      <c r="G11256" s="65"/>
      <c r="H11256" s="65"/>
    </row>
    <row r="11257" spans="1:8" s="61" customFormat="1" hidden="1">
      <c r="A11257" s="1"/>
      <c r="B11257" s="1"/>
      <c r="C11257" s="1"/>
      <c r="D11257" s="1"/>
      <c r="E11257" s="62"/>
      <c r="F11257" s="6"/>
      <c r="G11257" s="65"/>
      <c r="H11257" s="65"/>
    </row>
    <row r="11258" spans="1:8" s="61" customFormat="1" hidden="1">
      <c r="A11258" s="1"/>
      <c r="B11258" s="1"/>
      <c r="C11258" s="1"/>
      <c r="D11258" s="1"/>
      <c r="E11258" s="62"/>
      <c r="F11258" s="6"/>
      <c r="G11258" s="65"/>
      <c r="H11258" s="65"/>
    </row>
    <row r="11259" spans="1:8" s="61" customFormat="1" hidden="1">
      <c r="A11259" s="1"/>
      <c r="B11259" s="1"/>
      <c r="C11259" s="1"/>
      <c r="D11259" s="1"/>
      <c r="E11259" s="62"/>
      <c r="F11259" s="6"/>
      <c r="G11259" s="65"/>
      <c r="H11259" s="65"/>
    </row>
    <row r="11260" spans="1:8" s="61" customFormat="1" hidden="1">
      <c r="A11260" s="1"/>
      <c r="B11260" s="1"/>
      <c r="C11260" s="1"/>
      <c r="D11260" s="1"/>
      <c r="E11260" s="62"/>
      <c r="F11260" s="6"/>
      <c r="G11260" s="65"/>
      <c r="H11260" s="65"/>
    </row>
    <row r="11261" spans="1:8" s="61" customFormat="1" hidden="1">
      <c r="A11261" s="1"/>
      <c r="B11261" s="1"/>
      <c r="C11261" s="1"/>
      <c r="D11261" s="1"/>
      <c r="E11261" s="62"/>
      <c r="F11261" s="6"/>
      <c r="G11261" s="65"/>
      <c r="H11261" s="65"/>
    </row>
    <row r="11262" spans="1:8" s="61" customFormat="1" hidden="1">
      <c r="A11262" s="1"/>
      <c r="B11262" s="1"/>
      <c r="C11262" s="1"/>
      <c r="D11262" s="1"/>
      <c r="E11262" s="62"/>
      <c r="F11262" s="6"/>
      <c r="G11262" s="65"/>
      <c r="H11262" s="65"/>
    </row>
    <row r="11263" spans="1:8" s="61" customFormat="1" hidden="1">
      <c r="A11263" s="1"/>
      <c r="B11263" s="1"/>
      <c r="C11263" s="1"/>
      <c r="D11263" s="1"/>
      <c r="E11263" s="62"/>
      <c r="F11263" s="6"/>
      <c r="G11263" s="65"/>
      <c r="H11263" s="65"/>
    </row>
    <row r="11264" spans="1:8" s="61" customFormat="1" hidden="1">
      <c r="A11264" s="1"/>
      <c r="B11264" s="1"/>
      <c r="C11264" s="1"/>
      <c r="D11264" s="1"/>
      <c r="E11264" s="62"/>
      <c r="F11264" s="6"/>
      <c r="G11264" s="65"/>
      <c r="H11264" s="65"/>
    </row>
    <row r="11265" spans="1:8" s="61" customFormat="1" hidden="1">
      <c r="A11265" s="1"/>
      <c r="B11265" s="1"/>
      <c r="C11265" s="1"/>
      <c r="D11265" s="1"/>
      <c r="E11265" s="62"/>
      <c r="F11265" s="6"/>
      <c r="G11265" s="65"/>
      <c r="H11265" s="65"/>
    </row>
    <row r="11266" spans="1:8" s="61" customFormat="1" hidden="1">
      <c r="A11266" s="1"/>
      <c r="B11266" s="1"/>
      <c r="C11266" s="1"/>
      <c r="D11266" s="1"/>
      <c r="E11266" s="62"/>
      <c r="F11266" s="6"/>
      <c r="G11266" s="65"/>
      <c r="H11266" s="65"/>
    </row>
    <row r="11267" spans="1:8" s="61" customFormat="1" hidden="1">
      <c r="A11267" s="1"/>
      <c r="B11267" s="1"/>
      <c r="C11267" s="1"/>
      <c r="D11267" s="1"/>
      <c r="E11267" s="62"/>
      <c r="F11267" s="6"/>
      <c r="G11267" s="65"/>
      <c r="H11267" s="65"/>
    </row>
    <row r="11268" spans="1:8" s="61" customFormat="1" hidden="1">
      <c r="A11268" s="1"/>
      <c r="B11268" s="1"/>
      <c r="C11268" s="1"/>
      <c r="D11268" s="1"/>
      <c r="E11268" s="62"/>
      <c r="F11268" s="6"/>
      <c r="G11268" s="65"/>
      <c r="H11268" s="65"/>
    </row>
    <row r="11269" spans="1:8" s="61" customFormat="1" hidden="1">
      <c r="A11269" s="1"/>
      <c r="B11269" s="1"/>
      <c r="C11269" s="1"/>
      <c r="D11269" s="1"/>
      <c r="E11269" s="62"/>
      <c r="F11269" s="6"/>
      <c r="G11269" s="65"/>
      <c r="H11269" s="65"/>
    </row>
    <row r="11270" spans="1:8" s="61" customFormat="1" hidden="1">
      <c r="A11270" s="1"/>
      <c r="B11270" s="1"/>
      <c r="C11270" s="1"/>
      <c r="D11270" s="1"/>
      <c r="E11270" s="62"/>
      <c r="F11270" s="6"/>
      <c r="G11270" s="65"/>
      <c r="H11270" s="65"/>
    </row>
    <row r="11271" spans="1:8" s="61" customFormat="1" hidden="1">
      <c r="A11271" s="1"/>
      <c r="B11271" s="1"/>
      <c r="C11271" s="1"/>
      <c r="D11271" s="1"/>
      <c r="E11271" s="62"/>
      <c r="F11271" s="6"/>
      <c r="G11271" s="65"/>
      <c r="H11271" s="65"/>
    </row>
    <row r="11272" spans="1:8" s="61" customFormat="1" hidden="1">
      <c r="A11272" s="1"/>
      <c r="B11272" s="1"/>
      <c r="C11272" s="1"/>
      <c r="D11272" s="1"/>
      <c r="E11272" s="62"/>
      <c r="F11272" s="6"/>
      <c r="G11272" s="65"/>
      <c r="H11272" s="65"/>
    </row>
    <row r="11273" spans="1:8" s="61" customFormat="1" hidden="1">
      <c r="A11273" s="1"/>
      <c r="B11273" s="1"/>
      <c r="C11273" s="1"/>
      <c r="D11273" s="1"/>
      <c r="E11273" s="62"/>
      <c r="F11273" s="6"/>
      <c r="G11273" s="65"/>
      <c r="H11273" s="65"/>
    </row>
    <row r="11274" spans="1:8" s="61" customFormat="1" hidden="1">
      <c r="A11274" s="1"/>
      <c r="B11274" s="1"/>
      <c r="C11274" s="1"/>
      <c r="D11274" s="1"/>
      <c r="E11274" s="62"/>
      <c r="F11274" s="6"/>
      <c r="G11274" s="65"/>
      <c r="H11274" s="65"/>
    </row>
    <row r="11275" spans="1:8" s="61" customFormat="1" hidden="1">
      <c r="A11275" s="1"/>
      <c r="B11275" s="1"/>
      <c r="C11275" s="1"/>
      <c r="D11275" s="1"/>
      <c r="E11275" s="62"/>
      <c r="F11275" s="6"/>
      <c r="G11275" s="65"/>
      <c r="H11275" s="65"/>
    </row>
    <row r="11276" spans="1:8" s="61" customFormat="1" hidden="1">
      <c r="A11276" s="1"/>
      <c r="B11276" s="1"/>
      <c r="C11276" s="1"/>
      <c r="D11276" s="1"/>
      <c r="E11276" s="62"/>
      <c r="F11276" s="6"/>
      <c r="G11276" s="65"/>
      <c r="H11276" s="65"/>
    </row>
    <row r="11277" spans="1:8" s="61" customFormat="1" hidden="1">
      <c r="A11277" s="1"/>
      <c r="B11277" s="1"/>
      <c r="C11277" s="1"/>
      <c r="D11277" s="1"/>
      <c r="E11277" s="62"/>
      <c r="F11277" s="6"/>
      <c r="G11277" s="65"/>
      <c r="H11277" s="65"/>
    </row>
    <row r="11278" spans="1:8" s="61" customFormat="1" hidden="1">
      <c r="A11278" s="1"/>
      <c r="B11278" s="1"/>
      <c r="C11278" s="1"/>
      <c r="D11278" s="1"/>
      <c r="E11278" s="62"/>
      <c r="F11278" s="6"/>
      <c r="G11278" s="65"/>
      <c r="H11278" s="65"/>
    </row>
    <row r="11279" spans="1:8" s="61" customFormat="1" hidden="1">
      <c r="A11279" s="1"/>
      <c r="B11279" s="1"/>
      <c r="C11279" s="1"/>
      <c r="D11279" s="1"/>
      <c r="E11279" s="62"/>
      <c r="F11279" s="6"/>
      <c r="G11279" s="65"/>
      <c r="H11279" s="65"/>
    </row>
    <row r="11280" spans="1:8" s="61" customFormat="1" hidden="1">
      <c r="A11280" s="1"/>
      <c r="B11280" s="1"/>
      <c r="C11280" s="1"/>
      <c r="D11280" s="1"/>
      <c r="E11280" s="62"/>
      <c r="F11280" s="6"/>
      <c r="G11280" s="65"/>
      <c r="H11280" s="65"/>
    </row>
    <row r="11281" spans="1:8" s="61" customFormat="1" hidden="1">
      <c r="A11281" s="1"/>
      <c r="B11281" s="1"/>
      <c r="C11281" s="1"/>
      <c r="D11281" s="1"/>
      <c r="E11281" s="62"/>
      <c r="F11281" s="6"/>
      <c r="G11281" s="65"/>
      <c r="H11281" s="65"/>
    </row>
    <row r="11282" spans="1:8" s="61" customFormat="1" hidden="1">
      <c r="A11282" s="1"/>
      <c r="B11282" s="1"/>
      <c r="C11282" s="1"/>
      <c r="D11282" s="1"/>
      <c r="E11282" s="62"/>
      <c r="F11282" s="6"/>
      <c r="G11282" s="65"/>
      <c r="H11282" s="65"/>
    </row>
    <row r="11283" spans="1:8" s="61" customFormat="1" hidden="1">
      <c r="A11283" s="1"/>
      <c r="B11283" s="1"/>
      <c r="C11283" s="1"/>
      <c r="D11283" s="1"/>
      <c r="E11283" s="62"/>
      <c r="F11283" s="6"/>
      <c r="G11283" s="65"/>
      <c r="H11283" s="65"/>
    </row>
    <row r="11284" spans="1:8" s="61" customFormat="1" hidden="1">
      <c r="A11284" s="1"/>
      <c r="B11284" s="1"/>
      <c r="C11284" s="1"/>
      <c r="D11284" s="1"/>
      <c r="E11284" s="62"/>
      <c r="F11284" s="6"/>
      <c r="G11284" s="65"/>
      <c r="H11284" s="65"/>
    </row>
    <row r="11285" spans="1:8" s="61" customFormat="1" hidden="1">
      <c r="A11285" s="1"/>
      <c r="B11285" s="1"/>
      <c r="C11285" s="1"/>
      <c r="D11285" s="1"/>
      <c r="E11285" s="62"/>
      <c r="F11285" s="6"/>
      <c r="G11285" s="65"/>
      <c r="H11285" s="65"/>
    </row>
    <row r="11286" spans="1:8" s="61" customFormat="1" hidden="1">
      <c r="A11286" s="1"/>
      <c r="B11286" s="1"/>
      <c r="C11286" s="1"/>
      <c r="D11286" s="1"/>
      <c r="E11286" s="62"/>
      <c r="F11286" s="6"/>
      <c r="G11286" s="65"/>
      <c r="H11286" s="65"/>
    </row>
    <row r="11287" spans="1:8" s="61" customFormat="1" hidden="1">
      <c r="A11287" s="1"/>
      <c r="B11287" s="1"/>
      <c r="C11287" s="1"/>
      <c r="D11287" s="1"/>
      <c r="E11287" s="62"/>
      <c r="F11287" s="6"/>
      <c r="G11287" s="65"/>
      <c r="H11287" s="65"/>
    </row>
    <row r="11288" spans="1:8" s="61" customFormat="1" hidden="1">
      <c r="A11288" s="1"/>
      <c r="B11288" s="1"/>
      <c r="C11288" s="1"/>
      <c r="D11288" s="1"/>
      <c r="E11288" s="62"/>
      <c r="F11288" s="6"/>
      <c r="G11288" s="65"/>
      <c r="H11288" s="65"/>
    </row>
    <row r="11289" spans="1:8" s="61" customFormat="1" hidden="1">
      <c r="A11289" s="1"/>
      <c r="B11289" s="1"/>
      <c r="C11289" s="1"/>
      <c r="D11289" s="1"/>
      <c r="E11289" s="62"/>
      <c r="F11289" s="6"/>
      <c r="G11289" s="65"/>
      <c r="H11289" s="65"/>
    </row>
    <row r="11290" spans="1:8" s="61" customFormat="1" hidden="1">
      <c r="A11290" s="1"/>
      <c r="B11290" s="1"/>
      <c r="C11290" s="1"/>
      <c r="D11290" s="1"/>
      <c r="E11290" s="62"/>
      <c r="F11290" s="6"/>
      <c r="G11290" s="65"/>
      <c r="H11290" s="65"/>
    </row>
    <row r="11291" spans="1:8" s="61" customFormat="1" hidden="1">
      <c r="A11291" s="1"/>
      <c r="B11291" s="1"/>
      <c r="C11291" s="1"/>
      <c r="D11291" s="1"/>
      <c r="E11291" s="62"/>
      <c r="F11291" s="6"/>
      <c r="G11291" s="65"/>
      <c r="H11291" s="65"/>
    </row>
    <row r="11292" spans="1:8" s="61" customFormat="1" hidden="1">
      <c r="A11292" s="1"/>
      <c r="B11292" s="1"/>
      <c r="C11292" s="1"/>
      <c r="D11292" s="1"/>
      <c r="E11292" s="62"/>
      <c r="F11292" s="6"/>
      <c r="G11292" s="65"/>
      <c r="H11292" s="65"/>
    </row>
    <row r="11293" spans="1:8" s="61" customFormat="1" hidden="1">
      <c r="A11293" s="1"/>
      <c r="B11293" s="1"/>
      <c r="C11293" s="1"/>
      <c r="D11293" s="1"/>
      <c r="E11293" s="62"/>
      <c r="F11293" s="6"/>
      <c r="G11293" s="65"/>
      <c r="H11293" s="65"/>
    </row>
    <row r="11294" spans="1:8" s="61" customFormat="1" hidden="1">
      <c r="A11294" s="1"/>
      <c r="B11294" s="1"/>
      <c r="C11294" s="1"/>
      <c r="D11294" s="1"/>
      <c r="E11294" s="62"/>
      <c r="F11294" s="6"/>
      <c r="G11294" s="65"/>
      <c r="H11294" s="65"/>
    </row>
    <row r="11295" spans="1:8" s="61" customFormat="1" hidden="1">
      <c r="A11295" s="1"/>
      <c r="B11295" s="1"/>
      <c r="C11295" s="1"/>
      <c r="D11295" s="1"/>
      <c r="E11295" s="62"/>
      <c r="F11295" s="6"/>
      <c r="G11295" s="65"/>
      <c r="H11295" s="65"/>
    </row>
    <row r="11296" spans="1:8" s="61" customFormat="1" hidden="1">
      <c r="A11296" s="1"/>
      <c r="B11296" s="1"/>
      <c r="C11296" s="1"/>
      <c r="D11296" s="1"/>
      <c r="E11296" s="62"/>
      <c r="F11296" s="6"/>
      <c r="G11296" s="65"/>
      <c r="H11296" s="65"/>
    </row>
    <row r="11297" spans="1:8" s="61" customFormat="1" hidden="1">
      <c r="A11297" s="1"/>
      <c r="B11297" s="1"/>
      <c r="C11297" s="1"/>
      <c r="D11297" s="1"/>
      <c r="E11297" s="62"/>
      <c r="F11297" s="6"/>
      <c r="G11297" s="65"/>
      <c r="H11297" s="65"/>
    </row>
    <row r="11298" spans="1:8" s="61" customFormat="1" hidden="1">
      <c r="A11298" s="1"/>
      <c r="B11298" s="1"/>
      <c r="C11298" s="1"/>
      <c r="D11298" s="1"/>
      <c r="E11298" s="62"/>
      <c r="F11298" s="6"/>
      <c r="G11298" s="65"/>
      <c r="H11298" s="65"/>
    </row>
    <row r="11299" spans="1:8" s="61" customFormat="1" hidden="1">
      <c r="A11299" s="1"/>
      <c r="B11299" s="1"/>
      <c r="C11299" s="1"/>
      <c r="D11299" s="1"/>
      <c r="E11299" s="62"/>
      <c r="F11299" s="6"/>
      <c r="G11299" s="65"/>
      <c r="H11299" s="65"/>
    </row>
    <row r="11300" spans="1:8" s="61" customFormat="1" hidden="1">
      <c r="A11300" s="1"/>
      <c r="B11300" s="1"/>
      <c r="C11300" s="1"/>
      <c r="D11300" s="1"/>
      <c r="E11300" s="62"/>
      <c r="F11300" s="6"/>
      <c r="G11300" s="65"/>
      <c r="H11300" s="65"/>
    </row>
    <row r="11301" spans="1:8" s="61" customFormat="1" hidden="1">
      <c r="A11301" s="1"/>
      <c r="B11301" s="1"/>
      <c r="C11301" s="1"/>
      <c r="D11301" s="1"/>
      <c r="E11301" s="62"/>
      <c r="F11301" s="6"/>
      <c r="G11301" s="65"/>
      <c r="H11301" s="65"/>
    </row>
    <row r="11302" spans="1:8" s="61" customFormat="1" hidden="1">
      <c r="A11302" s="1"/>
      <c r="B11302" s="1"/>
      <c r="C11302" s="1"/>
      <c r="D11302" s="1"/>
      <c r="E11302" s="62"/>
      <c r="F11302" s="6"/>
      <c r="G11302" s="65"/>
      <c r="H11302" s="65"/>
    </row>
    <row r="11303" spans="1:8" s="61" customFormat="1" hidden="1">
      <c r="A11303" s="1"/>
      <c r="B11303" s="1"/>
      <c r="C11303" s="1"/>
      <c r="D11303" s="1"/>
      <c r="E11303" s="62"/>
      <c r="F11303" s="6"/>
      <c r="G11303" s="65"/>
      <c r="H11303" s="65"/>
    </row>
    <row r="11304" spans="1:8" s="61" customFormat="1" hidden="1">
      <c r="A11304" s="1"/>
      <c r="B11304" s="1"/>
      <c r="C11304" s="1"/>
      <c r="D11304" s="1"/>
      <c r="E11304" s="62"/>
      <c r="F11304" s="6"/>
      <c r="G11304" s="65"/>
      <c r="H11304" s="65"/>
    </row>
    <row r="11305" spans="1:8" s="61" customFormat="1" hidden="1">
      <c r="A11305" s="1"/>
      <c r="B11305" s="1"/>
      <c r="C11305" s="1"/>
      <c r="D11305" s="1"/>
      <c r="E11305" s="62"/>
      <c r="F11305" s="6"/>
      <c r="G11305" s="65"/>
      <c r="H11305" s="65"/>
    </row>
    <row r="11306" spans="1:8" s="61" customFormat="1" hidden="1">
      <c r="A11306" s="1"/>
      <c r="B11306" s="1"/>
      <c r="C11306" s="1"/>
      <c r="D11306" s="1"/>
      <c r="E11306" s="62"/>
      <c r="F11306" s="6"/>
      <c r="G11306" s="65"/>
      <c r="H11306" s="65"/>
    </row>
    <row r="11307" spans="1:8" s="61" customFormat="1" hidden="1">
      <c r="A11307" s="1"/>
      <c r="B11307" s="1"/>
      <c r="C11307" s="1"/>
      <c r="D11307" s="1"/>
      <c r="E11307" s="62"/>
      <c r="F11307" s="6"/>
      <c r="G11307" s="65"/>
      <c r="H11307" s="65"/>
    </row>
    <row r="11308" spans="1:8" s="61" customFormat="1" hidden="1">
      <c r="A11308" s="1"/>
      <c r="B11308" s="1"/>
      <c r="C11308" s="1"/>
      <c r="D11308" s="1"/>
      <c r="E11308" s="62"/>
      <c r="F11308" s="6"/>
      <c r="G11308" s="65"/>
      <c r="H11308" s="65"/>
    </row>
    <row r="11309" spans="1:8" s="61" customFormat="1" hidden="1">
      <c r="A11309" s="1"/>
      <c r="B11309" s="1"/>
      <c r="C11309" s="1"/>
      <c r="D11309" s="1"/>
      <c r="E11309" s="62"/>
      <c r="F11309" s="6"/>
      <c r="G11309" s="65"/>
      <c r="H11309" s="65"/>
    </row>
    <row r="11310" spans="1:8" s="61" customFormat="1" hidden="1">
      <c r="A11310" s="1"/>
      <c r="B11310" s="1"/>
      <c r="C11310" s="1"/>
      <c r="D11310" s="1"/>
      <c r="E11310" s="62"/>
      <c r="F11310" s="6"/>
      <c r="G11310" s="65"/>
      <c r="H11310" s="65"/>
    </row>
    <row r="11311" spans="1:8" s="61" customFormat="1" hidden="1">
      <c r="A11311" s="1"/>
      <c r="B11311" s="1"/>
      <c r="C11311" s="1"/>
      <c r="D11311" s="1"/>
      <c r="E11311" s="62"/>
      <c r="F11311" s="6"/>
      <c r="G11311" s="65"/>
      <c r="H11311" s="65"/>
    </row>
    <row r="11312" spans="1:8" s="61" customFormat="1" hidden="1">
      <c r="A11312" s="1"/>
      <c r="B11312" s="1"/>
      <c r="C11312" s="1"/>
      <c r="D11312" s="1"/>
      <c r="E11312" s="62"/>
      <c r="F11312" s="6"/>
      <c r="G11312" s="65"/>
      <c r="H11312" s="65"/>
    </row>
    <row r="11313" spans="1:8" s="61" customFormat="1" hidden="1">
      <c r="A11313" s="1"/>
      <c r="B11313" s="1"/>
      <c r="C11313" s="1"/>
      <c r="D11313" s="1"/>
      <c r="E11313" s="62"/>
      <c r="F11313" s="6"/>
      <c r="G11313" s="65"/>
      <c r="H11313" s="65"/>
    </row>
    <row r="11314" spans="1:8" s="61" customFormat="1" hidden="1">
      <c r="A11314" s="1"/>
      <c r="B11314" s="1"/>
      <c r="C11314" s="1"/>
      <c r="D11314" s="1"/>
      <c r="E11314" s="62"/>
      <c r="F11314" s="6"/>
      <c r="G11314" s="65"/>
      <c r="H11314" s="65"/>
    </row>
    <row r="11315" spans="1:8" s="61" customFormat="1" hidden="1">
      <c r="A11315" s="1"/>
      <c r="B11315" s="1"/>
      <c r="C11315" s="1"/>
      <c r="D11315" s="1"/>
      <c r="E11315" s="62"/>
      <c r="F11315" s="6"/>
      <c r="G11315" s="65"/>
      <c r="H11315" s="65"/>
    </row>
    <row r="11316" spans="1:8" s="61" customFormat="1" hidden="1">
      <c r="A11316" s="1"/>
      <c r="B11316" s="1"/>
      <c r="C11316" s="1"/>
      <c r="D11316" s="1"/>
      <c r="E11316" s="62"/>
      <c r="F11316" s="6"/>
      <c r="G11316" s="65"/>
      <c r="H11316" s="65"/>
    </row>
    <row r="11317" spans="1:8" s="61" customFormat="1" hidden="1">
      <c r="A11317" s="1"/>
      <c r="B11317" s="1"/>
      <c r="C11317" s="1"/>
      <c r="D11317" s="1"/>
      <c r="E11317" s="62"/>
      <c r="F11317" s="6"/>
      <c r="G11317" s="65"/>
      <c r="H11317" s="65"/>
    </row>
    <row r="11318" spans="1:8" s="61" customFormat="1" hidden="1">
      <c r="A11318" s="1"/>
      <c r="B11318" s="1"/>
      <c r="C11318" s="1"/>
      <c r="D11318" s="1"/>
      <c r="E11318" s="62"/>
      <c r="F11318" s="6"/>
      <c r="G11318" s="65"/>
      <c r="H11318" s="65"/>
    </row>
    <row r="11319" spans="1:8" s="61" customFormat="1" hidden="1">
      <c r="A11319" s="1"/>
      <c r="B11319" s="1"/>
      <c r="C11319" s="1"/>
      <c r="D11319" s="1"/>
      <c r="E11319" s="62"/>
      <c r="F11319" s="6"/>
      <c r="G11319" s="65"/>
      <c r="H11319" s="65"/>
    </row>
    <row r="11320" spans="1:8" s="61" customFormat="1" hidden="1">
      <c r="A11320" s="1"/>
      <c r="B11320" s="1"/>
      <c r="C11320" s="1"/>
      <c r="D11320" s="1"/>
      <c r="E11320" s="62"/>
      <c r="F11320" s="6"/>
      <c r="G11320" s="65"/>
      <c r="H11320" s="65"/>
    </row>
    <row r="11321" spans="1:8" s="61" customFormat="1" hidden="1">
      <c r="A11321" s="1"/>
      <c r="B11321" s="1"/>
      <c r="C11321" s="1"/>
      <c r="D11321" s="1"/>
      <c r="E11321" s="62"/>
      <c r="F11321" s="6"/>
      <c r="G11321" s="65"/>
      <c r="H11321" s="65"/>
    </row>
    <row r="11322" spans="1:8" s="61" customFormat="1" hidden="1">
      <c r="A11322" s="1"/>
      <c r="B11322" s="1"/>
      <c r="C11322" s="1"/>
      <c r="D11322" s="1"/>
      <c r="E11322" s="62"/>
      <c r="F11322" s="6"/>
      <c r="G11322" s="65"/>
      <c r="H11322" s="65"/>
    </row>
    <row r="11323" spans="1:8" s="61" customFormat="1" hidden="1">
      <c r="A11323" s="1"/>
      <c r="B11323" s="1"/>
      <c r="C11323" s="1"/>
      <c r="D11323" s="1"/>
      <c r="E11323" s="62"/>
      <c r="F11323" s="6"/>
      <c r="G11323" s="65"/>
      <c r="H11323" s="65"/>
    </row>
    <row r="11324" spans="1:8" s="61" customFormat="1" hidden="1">
      <c r="A11324" s="1"/>
      <c r="B11324" s="1"/>
      <c r="C11324" s="1"/>
      <c r="D11324" s="1"/>
      <c r="E11324" s="62"/>
      <c r="F11324" s="6"/>
      <c r="G11324" s="65"/>
      <c r="H11324" s="65"/>
    </row>
    <row r="11325" spans="1:8" s="61" customFormat="1" hidden="1">
      <c r="A11325" s="1"/>
      <c r="B11325" s="1"/>
      <c r="C11325" s="1"/>
      <c r="D11325" s="1"/>
      <c r="E11325" s="62"/>
      <c r="F11325" s="6"/>
      <c r="G11325" s="65"/>
      <c r="H11325" s="65"/>
    </row>
    <row r="11326" spans="1:8" s="61" customFormat="1" hidden="1">
      <c r="A11326" s="1"/>
      <c r="B11326" s="1"/>
      <c r="C11326" s="1"/>
      <c r="D11326" s="1"/>
      <c r="E11326" s="62"/>
      <c r="F11326" s="6"/>
      <c r="G11326" s="65"/>
      <c r="H11326" s="65"/>
    </row>
    <row r="11327" spans="1:8" s="61" customFormat="1" hidden="1">
      <c r="A11327" s="1"/>
      <c r="B11327" s="1"/>
      <c r="C11327" s="1"/>
      <c r="D11327" s="1"/>
      <c r="E11327" s="62"/>
      <c r="F11327" s="6"/>
      <c r="G11327" s="65"/>
      <c r="H11327" s="65"/>
    </row>
    <row r="11328" spans="1:8" s="61" customFormat="1" hidden="1">
      <c r="A11328" s="1"/>
      <c r="B11328" s="1"/>
      <c r="C11328" s="1"/>
      <c r="D11328" s="1"/>
      <c r="E11328" s="62"/>
      <c r="F11328" s="6"/>
      <c r="G11328" s="65"/>
      <c r="H11328" s="65"/>
    </row>
    <row r="11329" spans="1:8" s="61" customFormat="1" hidden="1">
      <c r="A11329" s="1"/>
      <c r="B11329" s="1"/>
      <c r="C11329" s="1"/>
      <c r="D11329" s="1"/>
      <c r="E11329" s="62"/>
      <c r="F11329" s="6"/>
      <c r="G11329" s="65"/>
      <c r="H11329" s="65"/>
    </row>
    <row r="11330" spans="1:8" s="61" customFormat="1" hidden="1">
      <c r="A11330" s="1"/>
      <c r="B11330" s="1"/>
      <c r="C11330" s="1"/>
      <c r="D11330" s="1"/>
      <c r="E11330" s="62"/>
      <c r="F11330" s="6"/>
      <c r="G11330" s="65"/>
      <c r="H11330" s="65"/>
    </row>
    <row r="11331" spans="1:8" s="61" customFormat="1" hidden="1">
      <c r="A11331" s="1"/>
      <c r="B11331" s="1"/>
      <c r="C11331" s="1"/>
      <c r="D11331" s="1"/>
      <c r="E11331" s="62"/>
      <c r="F11331" s="6"/>
      <c r="G11331" s="65"/>
      <c r="H11331" s="65"/>
    </row>
    <row r="11332" spans="1:8" s="61" customFormat="1" hidden="1">
      <c r="A11332" s="1"/>
      <c r="B11332" s="1"/>
      <c r="C11332" s="1"/>
      <c r="D11332" s="1"/>
      <c r="E11332" s="62"/>
      <c r="F11332" s="6"/>
      <c r="G11332" s="65"/>
      <c r="H11332" s="65"/>
    </row>
    <row r="11333" spans="1:8" s="61" customFormat="1" hidden="1">
      <c r="A11333" s="1"/>
      <c r="B11333" s="1"/>
      <c r="C11333" s="1"/>
      <c r="D11333" s="1"/>
      <c r="E11333" s="62"/>
      <c r="F11333" s="6"/>
      <c r="G11333" s="65"/>
      <c r="H11333" s="65"/>
    </row>
    <row r="11334" spans="1:8" s="61" customFormat="1" hidden="1">
      <c r="A11334" s="1"/>
      <c r="B11334" s="1"/>
      <c r="C11334" s="1"/>
      <c r="D11334" s="1"/>
      <c r="E11334" s="62"/>
      <c r="F11334" s="6"/>
      <c r="G11334" s="65"/>
      <c r="H11334" s="65"/>
    </row>
    <row r="11335" spans="1:8" s="61" customFormat="1" hidden="1">
      <c r="A11335" s="1"/>
      <c r="B11335" s="1"/>
      <c r="C11335" s="1"/>
      <c r="D11335" s="1"/>
      <c r="E11335" s="62"/>
      <c r="F11335" s="6"/>
      <c r="G11335" s="65"/>
      <c r="H11335" s="65"/>
    </row>
    <row r="11336" spans="1:8" s="61" customFormat="1" hidden="1">
      <c r="A11336" s="1"/>
      <c r="B11336" s="1"/>
      <c r="C11336" s="1"/>
      <c r="D11336" s="1"/>
      <c r="E11336" s="62"/>
      <c r="F11336" s="6"/>
      <c r="G11336" s="65"/>
      <c r="H11336" s="65"/>
    </row>
    <row r="11337" spans="1:8" s="61" customFormat="1" hidden="1">
      <c r="A11337" s="1"/>
      <c r="B11337" s="1"/>
      <c r="C11337" s="1"/>
      <c r="D11337" s="1"/>
      <c r="E11337" s="62"/>
      <c r="F11337" s="6"/>
      <c r="G11337" s="65"/>
      <c r="H11337" s="65"/>
    </row>
    <row r="11338" spans="1:8" s="61" customFormat="1" hidden="1">
      <c r="A11338" s="1"/>
      <c r="B11338" s="1"/>
      <c r="C11338" s="1"/>
      <c r="D11338" s="1"/>
      <c r="E11338" s="62"/>
      <c r="F11338" s="6"/>
      <c r="G11338" s="65"/>
      <c r="H11338" s="65"/>
    </row>
    <row r="11339" spans="1:8" s="61" customFormat="1" hidden="1">
      <c r="A11339" s="1"/>
      <c r="B11339" s="1"/>
      <c r="C11339" s="1"/>
      <c r="D11339" s="1"/>
      <c r="E11339" s="62"/>
      <c r="F11339" s="6"/>
      <c r="G11339" s="65"/>
      <c r="H11339" s="65"/>
    </row>
    <row r="11340" spans="1:8" s="61" customFormat="1" hidden="1">
      <c r="A11340" s="1"/>
      <c r="B11340" s="1"/>
      <c r="C11340" s="1"/>
      <c r="D11340" s="1"/>
      <c r="E11340" s="62"/>
      <c r="F11340" s="6"/>
      <c r="G11340" s="65"/>
      <c r="H11340" s="65"/>
    </row>
    <row r="11341" spans="1:8" s="61" customFormat="1" hidden="1">
      <c r="A11341" s="1"/>
      <c r="B11341" s="1"/>
      <c r="C11341" s="1"/>
      <c r="D11341" s="1"/>
      <c r="E11341" s="62"/>
      <c r="F11341" s="6"/>
      <c r="G11341" s="65"/>
      <c r="H11341" s="65"/>
    </row>
    <row r="11342" spans="1:8" s="61" customFormat="1" hidden="1">
      <c r="A11342" s="1"/>
      <c r="B11342" s="1"/>
      <c r="C11342" s="1"/>
      <c r="D11342" s="1"/>
      <c r="E11342" s="62"/>
      <c r="F11342" s="6"/>
      <c r="G11342" s="65"/>
      <c r="H11342" s="65"/>
    </row>
    <row r="11343" spans="1:8" s="61" customFormat="1" hidden="1">
      <c r="A11343" s="1"/>
      <c r="B11343" s="1"/>
      <c r="C11343" s="1"/>
      <c r="D11343" s="1"/>
      <c r="E11343" s="62"/>
      <c r="F11343" s="6"/>
      <c r="G11343" s="65"/>
      <c r="H11343" s="65"/>
    </row>
    <row r="11344" spans="1:8" s="61" customFormat="1" hidden="1">
      <c r="A11344" s="1"/>
      <c r="B11344" s="1"/>
      <c r="C11344" s="1"/>
      <c r="D11344" s="1"/>
      <c r="E11344" s="62"/>
      <c r="F11344" s="6"/>
      <c r="G11344" s="65"/>
      <c r="H11344" s="65"/>
    </row>
    <row r="11345" spans="1:8" s="61" customFormat="1" hidden="1">
      <c r="A11345" s="1"/>
      <c r="B11345" s="1"/>
      <c r="C11345" s="1"/>
      <c r="D11345" s="1"/>
      <c r="E11345" s="62"/>
      <c r="F11345" s="6"/>
      <c r="G11345" s="65"/>
      <c r="H11345" s="65"/>
    </row>
    <row r="11346" spans="1:8" s="61" customFormat="1" hidden="1">
      <c r="A11346" s="1"/>
      <c r="B11346" s="1"/>
      <c r="C11346" s="1"/>
      <c r="D11346" s="1"/>
      <c r="E11346" s="62"/>
      <c r="F11346" s="6"/>
      <c r="G11346" s="65"/>
      <c r="H11346" s="65"/>
    </row>
    <row r="11347" spans="1:8" s="61" customFormat="1" hidden="1">
      <c r="A11347" s="1"/>
      <c r="B11347" s="1"/>
      <c r="C11347" s="1"/>
      <c r="D11347" s="1"/>
      <c r="E11347" s="62"/>
      <c r="F11347" s="6"/>
      <c r="G11347" s="65"/>
      <c r="H11347" s="65"/>
    </row>
    <row r="11348" spans="1:8" s="61" customFormat="1" hidden="1">
      <c r="A11348" s="1"/>
      <c r="B11348" s="1"/>
      <c r="C11348" s="1"/>
      <c r="D11348" s="1"/>
      <c r="E11348" s="62"/>
      <c r="F11348" s="6"/>
      <c r="G11348" s="65"/>
      <c r="H11348" s="65"/>
    </row>
    <row r="11349" spans="1:8" s="61" customFormat="1" hidden="1">
      <c r="A11349" s="1"/>
      <c r="B11349" s="1"/>
      <c r="C11349" s="1"/>
      <c r="D11349" s="1"/>
      <c r="E11349" s="62"/>
      <c r="F11349" s="6"/>
      <c r="G11349" s="65"/>
      <c r="H11349" s="65"/>
    </row>
    <row r="11350" spans="1:8" s="61" customFormat="1" hidden="1">
      <c r="A11350" s="1"/>
      <c r="B11350" s="1"/>
      <c r="C11350" s="1"/>
      <c r="D11350" s="1"/>
      <c r="E11350" s="62"/>
      <c r="F11350" s="6"/>
      <c r="G11350" s="65"/>
      <c r="H11350" s="65"/>
    </row>
    <row r="11351" spans="1:8" s="61" customFormat="1" hidden="1">
      <c r="A11351" s="1"/>
      <c r="B11351" s="1"/>
      <c r="C11351" s="1"/>
      <c r="D11351" s="1"/>
      <c r="E11351" s="62"/>
      <c r="F11351" s="6"/>
      <c r="G11351" s="65"/>
      <c r="H11351" s="65"/>
    </row>
    <row r="11352" spans="1:8" s="61" customFormat="1" hidden="1">
      <c r="A11352" s="1"/>
      <c r="B11352" s="1"/>
      <c r="C11352" s="1"/>
      <c r="D11352" s="1"/>
      <c r="E11352" s="62"/>
      <c r="F11352" s="6"/>
      <c r="G11352" s="65"/>
      <c r="H11352" s="65"/>
    </row>
    <row r="11353" spans="1:8" s="61" customFormat="1" hidden="1">
      <c r="A11353" s="1"/>
      <c r="B11353" s="1"/>
      <c r="C11353" s="1"/>
      <c r="D11353" s="1"/>
      <c r="E11353" s="62"/>
      <c r="F11353" s="6"/>
      <c r="G11353" s="65"/>
      <c r="H11353" s="65"/>
    </row>
    <row r="11354" spans="1:8" s="61" customFormat="1" hidden="1">
      <c r="A11354" s="1"/>
      <c r="B11354" s="1"/>
      <c r="C11354" s="1"/>
      <c r="D11354" s="1"/>
      <c r="E11354" s="62"/>
      <c r="F11354" s="6"/>
      <c r="G11354" s="65"/>
      <c r="H11354" s="65"/>
    </row>
    <row r="11355" spans="1:8" s="61" customFormat="1" hidden="1">
      <c r="A11355" s="1"/>
      <c r="B11355" s="1"/>
      <c r="C11355" s="1"/>
      <c r="D11355" s="1"/>
      <c r="E11355" s="62"/>
      <c r="F11355" s="6"/>
      <c r="G11355" s="65"/>
      <c r="H11355" s="65"/>
    </row>
    <row r="11356" spans="1:8" s="61" customFormat="1" hidden="1">
      <c r="A11356" s="1"/>
      <c r="B11356" s="1"/>
      <c r="C11356" s="1"/>
      <c r="D11356" s="1"/>
      <c r="E11356" s="62"/>
      <c r="F11356" s="6"/>
      <c r="G11356" s="65"/>
      <c r="H11356" s="65"/>
    </row>
    <row r="11357" spans="1:8" s="61" customFormat="1" hidden="1">
      <c r="A11357" s="1"/>
      <c r="B11357" s="1"/>
      <c r="C11357" s="1"/>
      <c r="D11357" s="1"/>
      <c r="E11357" s="62"/>
      <c r="F11357" s="6"/>
      <c r="G11357" s="65"/>
      <c r="H11357" s="65"/>
    </row>
    <row r="11358" spans="1:8" s="61" customFormat="1" hidden="1">
      <c r="A11358" s="1"/>
      <c r="B11358" s="1"/>
      <c r="C11358" s="1"/>
      <c r="D11358" s="1"/>
      <c r="E11358" s="62"/>
      <c r="F11358" s="6"/>
      <c r="G11358" s="65"/>
      <c r="H11358" s="65"/>
    </row>
    <row r="11359" spans="1:8" s="61" customFormat="1" hidden="1">
      <c r="A11359" s="1"/>
      <c r="B11359" s="1"/>
      <c r="C11359" s="1"/>
      <c r="D11359" s="1"/>
      <c r="E11359" s="62"/>
      <c r="F11359" s="6"/>
      <c r="G11359" s="65"/>
      <c r="H11359" s="65"/>
    </row>
    <row r="11360" spans="1:8" s="61" customFormat="1" hidden="1">
      <c r="A11360" s="1"/>
      <c r="B11360" s="1"/>
      <c r="C11360" s="1"/>
      <c r="D11360" s="1"/>
      <c r="E11360" s="62"/>
      <c r="F11360" s="6"/>
      <c r="G11360" s="65"/>
      <c r="H11360" s="65"/>
    </row>
    <row r="11361" spans="1:8" s="61" customFormat="1" hidden="1">
      <c r="A11361" s="1"/>
      <c r="B11361" s="1"/>
      <c r="C11361" s="1"/>
      <c r="D11361" s="1"/>
      <c r="E11361" s="62"/>
      <c r="F11361" s="6"/>
      <c r="G11361" s="65"/>
      <c r="H11361" s="65"/>
    </row>
    <row r="11362" spans="1:8" s="61" customFormat="1" hidden="1">
      <c r="A11362" s="1"/>
      <c r="B11362" s="1"/>
      <c r="C11362" s="1"/>
      <c r="D11362" s="1"/>
      <c r="E11362" s="62"/>
      <c r="F11362" s="6"/>
      <c r="G11362" s="65"/>
      <c r="H11362" s="65"/>
    </row>
    <row r="11363" spans="1:8" s="61" customFormat="1" hidden="1">
      <c r="A11363" s="1"/>
      <c r="B11363" s="1"/>
      <c r="C11363" s="1"/>
      <c r="D11363" s="1"/>
      <c r="E11363" s="62"/>
      <c r="F11363" s="6"/>
      <c r="G11363" s="65"/>
      <c r="H11363" s="65"/>
    </row>
    <row r="11364" spans="1:8" s="61" customFormat="1" hidden="1">
      <c r="A11364" s="1"/>
      <c r="B11364" s="1"/>
      <c r="C11364" s="1"/>
      <c r="D11364" s="1"/>
      <c r="E11364" s="62"/>
      <c r="F11364" s="6"/>
      <c r="G11364" s="65"/>
      <c r="H11364" s="65"/>
    </row>
    <row r="11365" spans="1:8" s="61" customFormat="1" hidden="1">
      <c r="A11365" s="1"/>
      <c r="B11365" s="1"/>
      <c r="C11365" s="1"/>
      <c r="D11365" s="1"/>
      <c r="E11365" s="62"/>
      <c r="F11365" s="6"/>
      <c r="G11365" s="65"/>
      <c r="H11365" s="65"/>
    </row>
    <row r="11366" spans="1:8" s="61" customFormat="1" hidden="1">
      <c r="A11366" s="1"/>
      <c r="B11366" s="1"/>
      <c r="C11366" s="1"/>
      <c r="D11366" s="1"/>
      <c r="E11366" s="62"/>
      <c r="F11366" s="6"/>
      <c r="G11366" s="65"/>
      <c r="H11366" s="65"/>
    </row>
    <row r="11367" spans="1:8" s="61" customFormat="1" hidden="1">
      <c r="A11367" s="1"/>
      <c r="B11367" s="1"/>
      <c r="C11367" s="1"/>
      <c r="D11367" s="1"/>
      <c r="E11367" s="62"/>
      <c r="F11367" s="6"/>
      <c r="G11367" s="65"/>
      <c r="H11367" s="65"/>
    </row>
    <row r="11368" spans="1:8" s="61" customFormat="1" hidden="1">
      <c r="A11368" s="1"/>
      <c r="B11368" s="1"/>
      <c r="C11368" s="1"/>
      <c r="D11368" s="1"/>
      <c r="E11368" s="62"/>
      <c r="F11368" s="6"/>
      <c r="G11368" s="65"/>
      <c r="H11368" s="65"/>
    </row>
    <row r="11369" spans="1:8" s="61" customFormat="1" hidden="1">
      <c r="A11369" s="1"/>
      <c r="B11369" s="1"/>
      <c r="C11369" s="1"/>
      <c r="D11369" s="1"/>
      <c r="E11369" s="62"/>
      <c r="F11369" s="6"/>
      <c r="G11369" s="65"/>
      <c r="H11369" s="65"/>
    </row>
    <row r="11370" spans="1:8" s="61" customFormat="1" hidden="1">
      <c r="A11370" s="1"/>
      <c r="B11370" s="1"/>
      <c r="C11370" s="1"/>
      <c r="D11370" s="1"/>
      <c r="E11370" s="62"/>
      <c r="F11370" s="6"/>
      <c r="G11370" s="65"/>
      <c r="H11370" s="65"/>
    </row>
    <row r="11371" spans="1:8" s="61" customFormat="1" hidden="1">
      <c r="A11371" s="1"/>
      <c r="B11371" s="1"/>
      <c r="C11371" s="1"/>
      <c r="D11371" s="1"/>
      <c r="E11371" s="62"/>
      <c r="F11371" s="6"/>
      <c r="G11371" s="65"/>
      <c r="H11371" s="65"/>
    </row>
    <row r="11372" spans="1:8" s="61" customFormat="1" hidden="1">
      <c r="A11372" s="1"/>
      <c r="B11372" s="1"/>
      <c r="C11372" s="1"/>
      <c r="D11372" s="1"/>
      <c r="E11372" s="62"/>
      <c r="F11372" s="6"/>
      <c r="G11372" s="65"/>
      <c r="H11372" s="65"/>
    </row>
    <row r="11373" spans="1:8" s="61" customFormat="1" hidden="1">
      <c r="A11373" s="1"/>
      <c r="B11373" s="1"/>
      <c r="C11373" s="1"/>
      <c r="D11373" s="1"/>
      <c r="E11373" s="62"/>
      <c r="F11373" s="6"/>
      <c r="G11373" s="65"/>
      <c r="H11373" s="65"/>
    </row>
    <row r="11374" spans="1:8" s="61" customFormat="1" hidden="1">
      <c r="A11374" s="1"/>
      <c r="B11374" s="1"/>
      <c r="C11374" s="1"/>
      <c r="D11374" s="1"/>
      <c r="E11374" s="62"/>
      <c r="F11374" s="6"/>
      <c r="G11374" s="65"/>
      <c r="H11374" s="65"/>
    </row>
    <row r="11375" spans="1:8" s="61" customFormat="1" hidden="1">
      <c r="A11375" s="1"/>
      <c r="B11375" s="1"/>
      <c r="C11375" s="1"/>
      <c r="D11375" s="1"/>
      <c r="E11375" s="62"/>
      <c r="F11375" s="6"/>
      <c r="G11375" s="65"/>
      <c r="H11375" s="65"/>
    </row>
    <row r="11376" spans="1:8" s="61" customFormat="1" hidden="1">
      <c r="A11376" s="1"/>
      <c r="B11376" s="1"/>
      <c r="C11376" s="1"/>
      <c r="D11376" s="1"/>
      <c r="E11376" s="62"/>
      <c r="F11376" s="6"/>
      <c r="G11376" s="65"/>
      <c r="H11376" s="65"/>
    </row>
    <row r="11377" spans="1:8" s="61" customFormat="1" hidden="1">
      <c r="A11377" s="1"/>
      <c r="B11377" s="1"/>
      <c r="C11377" s="1"/>
      <c r="D11377" s="1"/>
      <c r="E11377" s="62"/>
      <c r="F11377" s="6"/>
      <c r="G11377" s="65"/>
      <c r="H11377" s="65"/>
    </row>
    <row r="11378" spans="1:8" s="61" customFormat="1" hidden="1">
      <c r="A11378" s="1"/>
      <c r="B11378" s="1"/>
      <c r="C11378" s="1"/>
      <c r="D11378" s="1"/>
      <c r="E11378" s="62"/>
      <c r="F11378" s="6"/>
      <c r="G11378" s="65"/>
      <c r="H11378" s="65"/>
    </row>
    <row r="11379" spans="1:8" s="61" customFormat="1" hidden="1">
      <c r="A11379" s="1"/>
      <c r="B11379" s="1"/>
      <c r="C11379" s="1"/>
      <c r="D11379" s="1"/>
      <c r="E11379" s="62"/>
      <c r="F11379" s="6"/>
      <c r="G11379" s="65"/>
      <c r="H11379" s="65"/>
    </row>
    <row r="11380" spans="1:8" s="61" customFormat="1" hidden="1">
      <c r="A11380" s="1"/>
      <c r="B11380" s="1"/>
      <c r="C11380" s="1"/>
      <c r="D11380" s="1"/>
      <c r="E11380" s="62"/>
      <c r="F11380" s="6"/>
      <c r="G11380" s="65"/>
      <c r="H11380" s="65"/>
    </row>
    <row r="11381" spans="1:8" s="61" customFormat="1" hidden="1">
      <c r="A11381" s="1"/>
      <c r="B11381" s="1"/>
      <c r="C11381" s="1"/>
      <c r="D11381" s="1"/>
      <c r="E11381" s="62"/>
      <c r="F11381" s="6"/>
      <c r="G11381" s="65"/>
      <c r="H11381" s="65"/>
    </row>
    <row r="11382" spans="1:8" s="61" customFormat="1" hidden="1">
      <c r="A11382" s="1"/>
      <c r="B11382" s="1"/>
      <c r="C11382" s="1"/>
      <c r="D11382" s="1"/>
      <c r="E11382" s="62"/>
      <c r="F11382" s="6"/>
      <c r="G11382" s="65"/>
      <c r="H11382" s="65"/>
    </row>
    <row r="11383" spans="1:8" s="61" customFormat="1" hidden="1">
      <c r="A11383" s="1"/>
      <c r="B11383" s="1"/>
      <c r="C11383" s="1"/>
      <c r="D11383" s="1"/>
      <c r="E11383" s="62"/>
      <c r="F11383" s="6"/>
      <c r="G11383" s="65"/>
      <c r="H11383" s="65"/>
    </row>
    <row r="11384" spans="1:8" s="61" customFormat="1" hidden="1">
      <c r="A11384" s="1"/>
      <c r="B11384" s="1"/>
      <c r="C11384" s="1"/>
      <c r="D11384" s="1"/>
      <c r="E11384" s="62"/>
      <c r="F11384" s="6"/>
      <c r="G11384" s="65"/>
      <c r="H11384" s="65"/>
    </row>
    <row r="11385" spans="1:8" s="61" customFormat="1" hidden="1">
      <c r="A11385" s="1"/>
      <c r="B11385" s="1"/>
      <c r="C11385" s="1"/>
      <c r="D11385" s="1"/>
      <c r="E11385" s="62"/>
      <c r="F11385" s="6"/>
      <c r="G11385" s="65"/>
      <c r="H11385" s="65"/>
    </row>
    <row r="11386" spans="1:8" s="61" customFormat="1" hidden="1">
      <c r="A11386" s="1"/>
      <c r="B11386" s="1"/>
      <c r="C11386" s="1"/>
      <c r="D11386" s="1"/>
      <c r="E11386" s="62"/>
      <c r="F11386" s="6"/>
      <c r="G11386" s="65"/>
      <c r="H11386" s="65"/>
    </row>
    <row r="11387" spans="1:8" s="61" customFormat="1" hidden="1">
      <c r="A11387" s="1"/>
      <c r="B11387" s="1"/>
      <c r="C11387" s="1"/>
      <c r="D11387" s="1"/>
      <c r="E11387" s="62"/>
      <c r="F11387" s="6"/>
      <c r="G11387" s="65"/>
      <c r="H11387" s="65"/>
    </row>
    <row r="11388" spans="1:8" s="61" customFormat="1" hidden="1">
      <c r="A11388" s="1"/>
      <c r="B11388" s="1"/>
      <c r="C11388" s="1"/>
      <c r="D11388" s="1"/>
      <c r="E11388" s="62"/>
      <c r="F11388" s="6"/>
      <c r="G11388" s="65"/>
      <c r="H11388" s="65"/>
    </row>
    <row r="11389" spans="1:8" s="61" customFormat="1" hidden="1">
      <c r="A11389" s="1"/>
      <c r="B11389" s="1"/>
      <c r="C11389" s="1"/>
      <c r="D11389" s="1"/>
      <c r="E11389" s="62"/>
      <c r="F11389" s="6"/>
      <c r="G11389" s="65"/>
      <c r="H11389" s="65"/>
    </row>
    <row r="11390" spans="1:8" s="61" customFormat="1" hidden="1">
      <c r="A11390" s="1"/>
      <c r="B11390" s="1"/>
      <c r="C11390" s="1"/>
      <c r="D11390" s="1"/>
      <c r="E11390" s="62"/>
      <c r="F11390" s="6"/>
      <c r="G11390" s="65"/>
      <c r="H11390" s="65"/>
    </row>
    <row r="11391" spans="1:8" s="61" customFormat="1" hidden="1">
      <c r="A11391" s="1"/>
      <c r="B11391" s="1"/>
      <c r="C11391" s="1"/>
      <c r="D11391" s="1"/>
      <c r="E11391" s="62"/>
      <c r="F11391" s="6"/>
      <c r="G11391" s="65"/>
      <c r="H11391" s="65"/>
    </row>
    <row r="11392" spans="1:8" s="61" customFormat="1" hidden="1">
      <c r="A11392" s="1"/>
      <c r="B11392" s="1"/>
      <c r="C11392" s="1"/>
      <c r="D11392" s="1"/>
      <c r="E11392" s="62"/>
      <c r="F11392" s="6"/>
      <c r="G11392" s="65"/>
      <c r="H11392" s="65"/>
    </row>
    <row r="11393" spans="1:8" s="61" customFormat="1" hidden="1">
      <c r="A11393" s="1"/>
      <c r="B11393" s="1"/>
      <c r="C11393" s="1"/>
      <c r="D11393" s="1"/>
      <c r="E11393" s="62"/>
      <c r="F11393" s="6"/>
      <c r="G11393" s="65"/>
      <c r="H11393" s="65"/>
    </row>
    <row r="11394" spans="1:8" s="61" customFormat="1" hidden="1">
      <c r="A11394" s="1"/>
      <c r="B11394" s="1"/>
      <c r="C11394" s="1"/>
      <c r="D11394" s="1"/>
      <c r="E11394" s="62"/>
      <c r="F11394" s="6"/>
      <c r="G11394" s="65"/>
      <c r="H11394" s="65"/>
    </row>
    <row r="11395" spans="1:8" s="61" customFormat="1" hidden="1">
      <c r="A11395" s="1"/>
      <c r="B11395" s="1"/>
      <c r="C11395" s="1"/>
      <c r="D11395" s="1"/>
      <c r="E11395" s="62"/>
      <c r="F11395" s="6"/>
      <c r="G11395" s="65"/>
      <c r="H11395" s="65"/>
    </row>
    <row r="11396" spans="1:8" s="61" customFormat="1" hidden="1">
      <c r="A11396" s="1"/>
      <c r="B11396" s="1"/>
      <c r="C11396" s="1"/>
      <c r="D11396" s="1"/>
      <c r="E11396" s="62"/>
      <c r="F11396" s="6"/>
      <c r="G11396" s="65"/>
      <c r="H11396" s="65"/>
    </row>
    <row r="11397" spans="1:8" s="61" customFormat="1" hidden="1">
      <c r="A11397" s="1"/>
      <c r="B11397" s="1"/>
      <c r="C11397" s="1"/>
      <c r="D11397" s="1"/>
      <c r="E11397" s="62"/>
      <c r="F11397" s="6"/>
      <c r="G11397" s="65"/>
      <c r="H11397" s="65"/>
    </row>
    <row r="11398" spans="1:8" s="61" customFormat="1" hidden="1">
      <c r="A11398" s="1"/>
      <c r="B11398" s="1"/>
      <c r="C11398" s="1"/>
      <c r="D11398" s="1"/>
      <c r="E11398" s="62"/>
      <c r="F11398" s="6"/>
      <c r="G11398" s="65"/>
      <c r="H11398" s="65"/>
    </row>
    <row r="11399" spans="1:8" s="61" customFormat="1" hidden="1">
      <c r="A11399" s="1"/>
      <c r="B11399" s="1"/>
      <c r="C11399" s="1"/>
      <c r="D11399" s="1"/>
      <c r="E11399" s="62"/>
      <c r="F11399" s="6"/>
      <c r="G11399" s="65"/>
      <c r="H11399" s="65"/>
    </row>
    <row r="11400" spans="1:8" s="61" customFormat="1" hidden="1">
      <c r="A11400" s="1"/>
      <c r="B11400" s="1"/>
      <c r="C11400" s="1"/>
      <c r="D11400" s="1"/>
      <c r="E11400" s="62"/>
      <c r="F11400" s="6"/>
      <c r="G11400" s="65"/>
      <c r="H11400" s="65"/>
    </row>
    <row r="11401" spans="1:8" s="61" customFormat="1" hidden="1">
      <c r="A11401" s="1"/>
      <c r="B11401" s="1"/>
      <c r="C11401" s="1"/>
      <c r="D11401" s="1"/>
      <c r="E11401" s="62"/>
      <c r="F11401" s="6"/>
      <c r="G11401" s="65"/>
      <c r="H11401" s="65"/>
    </row>
    <row r="11402" spans="1:8" s="61" customFormat="1" hidden="1">
      <c r="A11402" s="1"/>
      <c r="B11402" s="1"/>
      <c r="C11402" s="1"/>
      <c r="D11402" s="1"/>
      <c r="E11402" s="62"/>
      <c r="F11402" s="6"/>
      <c r="G11402" s="65"/>
      <c r="H11402" s="65"/>
    </row>
    <row r="11403" spans="1:8" s="61" customFormat="1" hidden="1">
      <c r="A11403" s="1"/>
      <c r="B11403" s="1"/>
      <c r="C11403" s="1"/>
      <c r="D11403" s="1"/>
      <c r="E11403" s="62"/>
      <c r="F11403" s="6"/>
      <c r="G11403" s="65"/>
      <c r="H11403" s="65"/>
    </row>
    <row r="11404" spans="1:8" s="61" customFormat="1" hidden="1">
      <c r="A11404" s="1"/>
      <c r="B11404" s="1"/>
      <c r="C11404" s="1"/>
      <c r="D11404" s="1"/>
      <c r="E11404" s="62"/>
      <c r="F11404" s="6"/>
      <c r="G11404" s="65"/>
      <c r="H11404" s="65"/>
    </row>
    <row r="11405" spans="1:8" s="61" customFormat="1" hidden="1">
      <c r="A11405" s="1"/>
      <c r="B11405" s="1"/>
      <c r="C11405" s="1"/>
      <c r="D11405" s="1"/>
      <c r="E11405" s="62"/>
      <c r="F11405" s="6"/>
      <c r="G11405" s="65"/>
      <c r="H11405" s="65"/>
    </row>
    <row r="11406" spans="1:8" s="61" customFormat="1" hidden="1">
      <c r="A11406" s="1"/>
      <c r="B11406" s="1"/>
      <c r="C11406" s="1"/>
      <c r="D11406" s="1"/>
      <c r="E11406" s="62"/>
      <c r="F11406" s="6"/>
      <c r="G11406" s="65"/>
      <c r="H11406" s="65"/>
    </row>
    <row r="11407" spans="1:8" s="61" customFormat="1" hidden="1">
      <c r="A11407" s="1"/>
      <c r="B11407" s="1"/>
      <c r="C11407" s="1"/>
      <c r="D11407" s="1"/>
      <c r="E11407" s="62"/>
      <c r="F11407" s="6"/>
      <c r="G11407" s="65"/>
      <c r="H11407" s="65"/>
    </row>
    <row r="11408" spans="1:8" s="61" customFormat="1" hidden="1">
      <c r="A11408" s="1"/>
      <c r="B11408" s="1"/>
      <c r="C11408" s="1"/>
      <c r="D11408" s="1"/>
      <c r="E11408" s="62"/>
      <c r="F11408" s="6"/>
      <c r="G11408" s="65"/>
      <c r="H11408" s="65"/>
    </row>
    <row r="11409" spans="1:8" s="61" customFormat="1" hidden="1">
      <c r="A11409" s="1"/>
      <c r="B11409" s="1"/>
      <c r="C11409" s="1"/>
      <c r="D11409" s="1"/>
      <c r="E11409" s="62"/>
      <c r="F11409" s="6"/>
      <c r="G11409" s="65"/>
      <c r="H11409" s="65"/>
    </row>
    <row r="11410" spans="1:8" s="61" customFormat="1" hidden="1">
      <c r="A11410" s="1"/>
      <c r="B11410" s="1"/>
      <c r="C11410" s="1"/>
      <c r="D11410" s="1"/>
      <c r="E11410" s="62"/>
      <c r="F11410" s="6"/>
      <c r="G11410" s="65"/>
      <c r="H11410" s="65"/>
    </row>
    <row r="11411" spans="1:8" s="61" customFormat="1" hidden="1">
      <c r="A11411" s="1"/>
      <c r="B11411" s="1"/>
      <c r="C11411" s="1"/>
      <c r="D11411" s="1"/>
      <c r="E11411" s="62"/>
      <c r="F11411" s="6"/>
      <c r="G11411" s="65"/>
      <c r="H11411" s="65"/>
    </row>
    <row r="11412" spans="1:8" s="61" customFormat="1" hidden="1">
      <c r="A11412" s="1"/>
      <c r="B11412" s="1"/>
      <c r="C11412" s="1"/>
      <c r="D11412" s="1"/>
      <c r="E11412" s="62"/>
      <c r="F11412" s="6"/>
      <c r="G11412" s="65"/>
      <c r="H11412" s="65"/>
    </row>
    <row r="11413" spans="1:8" s="61" customFormat="1" hidden="1">
      <c r="A11413" s="1"/>
      <c r="B11413" s="1"/>
      <c r="C11413" s="1"/>
      <c r="D11413" s="1"/>
      <c r="E11413" s="62"/>
      <c r="F11413" s="6"/>
      <c r="G11413" s="65"/>
      <c r="H11413" s="65"/>
    </row>
    <row r="11414" spans="1:8" s="61" customFormat="1" hidden="1">
      <c r="A11414" s="1"/>
      <c r="B11414" s="1"/>
      <c r="C11414" s="1"/>
      <c r="D11414" s="1"/>
      <c r="E11414" s="62"/>
      <c r="F11414" s="6"/>
      <c r="G11414" s="65"/>
      <c r="H11414" s="65"/>
    </row>
    <row r="11415" spans="1:8" s="61" customFormat="1" hidden="1">
      <c r="A11415" s="1"/>
      <c r="B11415" s="1"/>
      <c r="C11415" s="1"/>
      <c r="D11415" s="1"/>
      <c r="E11415" s="62"/>
      <c r="F11415" s="6"/>
      <c r="G11415" s="65"/>
      <c r="H11415" s="65"/>
    </row>
    <row r="11416" spans="1:8" s="61" customFormat="1" hidden="1">
      <c r="A11416" s="1"/>
      <c r="B11416" s="1"/>
      <c r="C11416" s="1"/>
      <c r="D11416" s="1"/>
      <c r="E11416" s="62"/>
      <c r="F11416" s="6"/>
      <c r="G11416" s="65"/>
      <c r="H11416" s="65"/>
    </row>
    <row r="11417" spans="1:8" s="61" customFormat="1" hidden="1">
      <c r="A11417" s="1"/>
      <c r="B11417" s="1"/>
      <c r="C11417" s="1"/>
      <c r="D11417" s="1"/>
      <c r="E11417" s="62"/>
      <c r="F11417" s="6"/>
      <c r="G11417" s="65"/>
      <c r="H11417" s="65"/>
    </row>
    <row r="11418" spans="1:8" s="61" customFormat="1" hidden="1">
      <c r="A11418" s="1"/>
      <c r="B11418" s="1"/>
      <c r="C11418" s="1"/>
      <c r="D11418" s="1"/>
      <c r="E11418" s="62"/>
      <c r="F11418" s="6"/>
      <c r="G11418" s="65"/>
      <c r="H11418" s="65"/>
    </row>
    <row r="11419" spans="1:8" s="61" customFormat="1" hidden="1">
      <c r="A11419" s="1"/>
      <c r="B11419" s="1"/>
      <c r="C11419" s="1"/>
      <c r="D11419" s="1"/>
      <c r="E11419" s="62"/>
      <c r="F11419" s="6"/>
      <c r="G11419" s="65"/>
      <c r="H11419" s="65"/>
    </row>
    <row r="11420" spans="1:8" s="61" customFormat="1" hidden="1">
      <c r="A11420" s="1"/>
      <c r="B11420" s="1"/>
      <c r="C11420" s="1"/>
      <c r="D11420" s="1"/>
      <c r="E11420" s="62"/>
      <c r="F11420" s="6"/>
      <c r="G11420" s="65"/>
      <c r="H11420" s="65"/>
    </row>
    <row r="11421" spans="1:8" s="61" customFormat="1" hidden="1">
      <c r="A11421" s="1"/>
      <c r="B11421" s="1"/>
      <c r="C11421" s="1"/>
      <c r="D11421" s="1"/>
      <c r="E11421" s="62"/>
      <c r="F11421" s="6"/>
      <c r="G11421" s="65"/>
      <c r="H11421" s="65"/>
    </row>
    <row r="11422" spans="1:8" s="61" customFormat="1" hidden="1">
      <c r="A11422" s="1"/>
      <c r="B11422" s="1"/>
      <c r="C11422" s="1"/>
      <c r="D11422" s="1"/>
      <c r="E11422" s="62"/>
      <c r="F11422" s="6"/>
      <c r="G11422" s="65"/>
      <c r="H11422" s="65"/>
    </row>
    <row r="11423" spans="1:8" s="61" customFormat="1" hidden="1">
      <c r="A11423" s="1"/>
      <c r="B11423" s="1"/>
      <c r="C11423" s="1"/>
      <c r="D11423" s="1"/>
      <c r="E11423" s="62"/>
      <c r="F11423" s="6"/>
      <c r="G11423" s="65"/>
      <c r="H11423" s="65"/>
    </row>
    <row r="11424" spans="1:8" s="61" customFormat="1" hidden="1">
      <c r="A11424" s="1"/>
      <c r="B11424" s="1"/>
      <c r="C11424" s="1"/>
      <c r="D11424" s="1"/>
      <c r="E11424" s="62"/>
      <c r="F11424" s="6"/>
      <c r="G11424" s="65"/>
      <c r="H11424" s="65"/>
    </row>
    <row r="11425" spans="1:8" s="61" customFormat="1" hidden="1">
      <c r="A11425" s="1"/>
      <c r="B11425" s="1"/>
      <c r="C11425" s="1"/>
      <c r="D11425" s="1"/>
      <c r="E11425" s="62"/>
      <c r="F11425" s="6"/>
      <c r="G11425" s="65"/>
      <c r="H11425" s="65"/>
    </row>
    <row r="11426" spans="1:8" s="61" customFormat="1" hidden="1">
      <c r="A11426" s="1"/>
      <c r="B11426" s="1"/>
      <c r="C11426" s="1"/>
      <c r="D11426" s="1"/>
      <c r="E11426" s="62"/>
      <c r="F11426" s="6"/>
      <c r="G11426" s="65"/>
      <c r="H11426" s="65"/>
    </row>
    <row r="11427" spans="1:8" s="61" customFormat="1" hidden="1">
      <c r="A11427" s="1"/>
      <c r="B11427" s="1"/>
      <c r="C11427" s="1"/>
      <c r="D11427" s="1"/>
      <c r="E11427" s="62"/>
      <c r="F11427" s="6"/>
      <c r="G11427" s="65"/>
      <c r="H11427" s="65"/>
    </row>
    <row r="11428" spans="1:8" s="61" customFormat="1" hidden="1">
      <c r="A11428" s="1"/>
      <c r="B11428" s="1"/>
      <c r="C11428" s="1"/>
      <c r="D11428" s="1"/>
      <c r="E11428" s="62"/>
      <c r="F11428" s="6"/>
      <c r="G11428" s="65"/>
      <c r="H11428" s="65"/>
    </row>
    <row r="11429" spans="1:8" s="61" customFormat="1" hidden="1">
      <c r="A11429" s="1"/>
      <c r="B11429" s="1"/>
      <c r="C11429" s="1"/>
      <c r="D11429" s="1"/>
      <c r="E11429" s="62"/>
      <c r="F11429" s="6"/>
      <c r="G11429" s="65"/>
      <c r="H11429" s="65"/>
    </row>
    <row r="11430" spans="1:8" s="61" customFormat="1" hidden="1">
      <c r="A11430" s="1"/>
      <c r="B11430" s="1"/>
      <c r="C11430" s="1"/>
      <c r="D11430" s="1"/>
      <c r="E11430" s="62"/>
      <c r="F11430" s="6"/>
      <c r="G11430" s="65"/>
      <c r="H11430" s="65"/>
    </row>
    <row r="11431" spans="1:8" s="61" customFormat="1" hidden="1">
      <c r="A11431" s="1"/>
      <c r="B11431" s="1"/>
      <c r="C11431" s="1"/>
      <c r="D11431" s="1"/>
      <c r="E11431" s="62"/>
      <c r="F11431" s="6"/>
      <c r="G11431" s="65"/>
      <c r="H11431" s="65"/>
    </row>
    <row r="11432" spans="1:8" s="61" customFormat="1" hidden="1">
      <c r="A11432" s="1"/>
      <c r="B11432" s="1"/>
      <c r="C11432" s="1"/>
      <c r="D11432" s="1"/>
      <c r="E11432" s="62"/>
      <c r="F11432" s="6"/>
      <c r="G11432" s="65"/>
      <c r="H11432" s="65"/>
    </row>
    <row r="11433" spans="1:8" s="61" customFormat="1" hidden="1">
      <c r="A11433" s="1"/>
      <c r="B11433" s="1"/>
      <c r="C11433" s="1"/>
      <c r="D11433" s="1"/>
      <c r="E11433" s="62"/>
      <c r="F11433" s="6"/>
      <c r="G11433" s="65"/>
      <c r="H11433" s="65"/>
    </row>
    <row r="11434" spans="1:8" s="61" customFormat="1" hidden="1">
      <c r="A11434" s="1"/>
      <c r="B11434" s="1"/>
      <c r="C11434" s="1"/>
      <c r="D11434" s="1"/>
      <c r="E11434" s="62"/>
      <c r="F11434" s="6"/>
      <c r="G11434" s="65"/>
      <c r="H11434" s="65"/>
    </row>
    <row r="11435" spans="1:8" s="61" customFormat="1" hidden="1">
      <c r="A11435" s="1"/>
      <c r="B11435" s="1"/>
      <c r="C11435" s="1"/>
      <c r="D11435" s="1"/>
      <c r="E11435" s="62"/>
      <c r="F11435" s="6"/>
      <c r="G11435" s="65"/>
      <c r="H11435" s="65"/>
    </row>
    <row r="11436" spans="1:8" s="61" customFormat="1" hidden="1">
      <c r="A11436" s="1"/>
      <c r="B11436" s="1"/>
      <c r="C11436" s="1"/>
      <c r="D11436" s="1"/>
      <c r="E11436" s="62"/>
      <c r="F11436" s="6"/>
      <c r="G11436" s="65"/>
      <c r="H11436" s="65"/>
    </row>
    <row r="11437" spans="1:8" s="61" customFormat="1" hidden="1">
      <c r="A11437" s="1"/>
      <c r="B11437" s="1"/>
      <c r="C11437" s="1"/>
      <c r="D11437" s="1"/>
      <c r="E11437" s="62"/>
      <c r="F11437" s="6"/>
      <c r="G11437" s="65"/>
      <c r="H11437" s="65"/>
    </row>
    <row r="11438" spans="1:8" s="61" customFormat="1" hidden="1">
      <c r="A11438" s="1"/>
      <c r="B11438" s="1"/>
      <c r="C11438" s="1"/>
      <c r="D11438" s="1"/>
      <c r="E11438" s="62"/>
      <c r="F11438" s="6"/>
      <c r="G11438" s="65"/>
      <c r="H11438" s="65"/>
    </row>
    <row r="11439" spans="1:8" s="61" customFormat="1" hidden="1">
      <c r="A11439" s="1"/>
      <c r="B11439" s="1"/>
      <c r="C11439" s="1"/>
      <c r="D11439" s="1"/>
      <c r="E11439" s="62"/>
      <c r="F11439" s="6"/>
      <c r="G11439" s="65"/>
      <c r="H11439" s="65"/>
    </row>
    <row r="11440" spans="1:8" s="61" customFormat="1" hidden="1">
      <c r="A11440" s="1"/>
      <c r="B11440" s="1"/>
      <c r="C11440" s="1"/>
      <c r="D11440" s="1"/>
      <c r="E11440" s="62"/>
      <c r="F11440" s="6"/>
      <c r="G11440" s="65"/>
      <c r="H11440" s="65"/>
    </row>
    <row r="11441" spans="1:8" s="61" customFormat="1" hidden="1">
      <c r="A11441" s="1"/>
      <c r="B11441" s="1"/>
      <c r="C11441" s="1"/>
      <c r="D11441" s="1"/>
      <c r="E11441" s="62"/>
      <c r="F11441" s="6"/>
      <c r="G11441" s="65"/>
      <c r="H11441" s="65"/>
    </row>
    <row r="11442" spans="1:8" s="61" customFormat="1" hidden="1">
      <c r="A11442" s="1"/>
      <c r="B11442" s="1"/>
      <c r="C11442" s="1"/>
      <c r="D11442" s="1"/>
      <c r="E11442" s="62"/>
      <c r="F11442" s="6"/>
      <c r="G11442" s="65"/>
      <c r="H11442" s="65"/>
    </row>
    <row r="11443" spans="1:8" s="61" customFormat="1" hidden="1">
      <c r="A11443" s="1"/>
      <c r="B11443" s="1"/>
      <c r="C11443" s="1"/>
      <c r="D11443" s="1"/>
      <c r="E11443" s="62"/>
      <c r="F11443" s="6"/>
      <c r="G11443" s="65"/>
      <c r="H11443" s="65"/>
    </row>
    <row r="11444" spans="1:8" s="61" customFormat="1" hidden="1">
      <c r="A11444" s="1"/>
      <c r="B11444" s="1"/>
      <c r="C11444" s="1"/>
      <c r="D11444" s="1"/>
      <c r="E11444" s="62"/>
      <c r="F11444" s="6"/>
      <c r="G11444" s="65"/>
      <c r="H11444" s="65"/>
    </row>
    <row r="11445" spans="1:8" s="61" customFormat="1" hidden="1">
      <c r="A11445" s="1"/>
      <c r="B11445" s="1"/>
      <c r="C11445" s="1"/>
      <c r="D11445" s="1"/>
      <c r="E11445" s="62"/>
      <c r="F11445" s="6"/>
      <c r="G11445" s="65"/>
      <c r="H11445" s="65"/>
    </row>
    <row r="11446" spans="1:8" s="61" customFormat="1" hidden="1">
      <c r="A11446" s="1"/>
      <c r="B11446" s="1"/>
      <c r="C11446" s="1"/>
      <c r="D11446" s="1"/>
      <c r="E11446" s="62"/>
      <c r="F11446" s="6"/>
      <c r="G11446" s="65"/>
      <c r="H11446" s="65"/>
    </row>
    <row r="11447" spans="1:8" s="61" customFormat="1" hidden="1">
      <c r="A11447" s="1"/>
      <c r="B11447" s="1"/>
      <c r="C11447" s="1"/>
      <c r="D11447" s="1"/>
      <c r="E11447" s="62"/>
      <c r="F11447" s="6"/>
      <c r="G11447" s="65"/>
      <c r="H11447" s="65"/>
    </row>
    <row r="11448" spans="1:8" s="61" customFormat="1" hidden="1">
      <c r="A11448" s="1"/>
      <c r="B11448" s="1"/>
      <c r="C11448" s="1"/>
      <c r="D11448" s="1"/>
      <c r="E11448" s="62"/>
      <c r="F11448" s="6"/>
      <c r="G11448" s="65"/>
      <c r="H11448" s="65"/>
    </row>
    <row r="11449" spans="1:8" s="61" customFormat="1" hidden="1">
      <c r="A11449" s="1"/>
      <c r="B11449" s="1"/>
      <c r="C11449" s="1"/>
      <c r="D11449" s="1"/>
      <c r="E11449" s="62"/>
      <c r="F11449" s="6"/>
      <c r="G11449" s="65"/>
      <c r="H11449" s="65"/>
    </row>
    <row r="11450" spans="1:8" s="61" customFormat="1" hidden="1">
      <c r="A11450" s="1"/>
      <c r="B11450" s="1"/>
      <c r="C11450" s="1"/>
      <c r="D11450" s="1"/>
      <c r="E11450" s="62"/>
      <c r="F11450" s="6"/>
      <c r="G11450" s="65"/>
      <c r="H11450" s="65"/>
    </row>
    <row r="11451" spans="1:8" s="61" customFormat="1" hidden="1">
      <c r="A11451" s="1"/>
      <c r="B11451" s="1"/>
      <c r="C11451" s="1"/>
      <c r="D11451" s="1"/>
      <c r="E11451" s="62"/>
      <c r="F11451" s="6"/>
      <c r="G11451" s="65"/>
      <c r="H11451" s="65"/>
    </row>
    <row r="11452" spans="1:8" s="61" customFormat="1" hidden="1">
      <c r="A11452" s="1"/>
      <c r="B11452" s="1"/>
      <c r="C11452" s="1"/>
      <c r="D11452" s="1"/>
      <c r="E11452" s="62"/>
      <c r="F11452" s="6"/>
      <c r="G11452" s="65"/>
      <c r="H11452" s="65"/>
    </row>
    <row r="11453" spans="1:8" s="61" customFormat="1" hidden="1">
      <c r="A11453" s="1"/>
      <c r="B11453" s="1"/>
      <c r="C11453" s="1"/>
      <c r="D11453" s="1"/>
      <c r="E11453" s="62"/>
      <c r="F11453" s="6"/>
      <c r="G11453" s="65"/>
      <c r="H11453" s="65"/>
    </row>
    <row r="11454" spans="1:8" s="61" customFormat="1" hidden="1">
      <c r="A11454" s="1"/>
      <c r="B11454" s="1"/>
      <c r="C11454" s="1"/>
      <c r="D11454" s="1"/>
      <c r="E11454" s="62"/>
      <c r="F11454" s="6"/>
      <c r="G11454" s="65"/>
      <c r="H11454" s="65"/>
    </row>
    <row r="11455" spans="1:8" s="61" customFormat="1" hidden="1">
      <c r="A11455" s="1"/>
      <c r="B11455" s="1"/>
      <c r="C11455" s="1"/>
      <c r="D11455" s="1"/>
      <c r="E11455" s="62"/>
      <c r="F11455" s="6"/>
      <c r="G11455" s="65"/>
      <c r="H11455" s="65"/>
    </row>
    <row r="11456" spans="1:8" s="61" customFormat="1" hidden="1">
      <c r="A11456" s="1"/>
      <c r="B11456" s="1"/>
      <c r="C11456" s="1"/>
      <c r="D11456" s="1"/>
      <c r="E11456" s="62"/>
      <c r="F11456" s="6"/>
      <c r="G11456" s="65"/>
      <c r="H11456" s="65"/>
    </row>
    <row r="11457" spans="1:8" s="61" customFormat="1" hidden="1">
      <c r="A11457" s="1"/>
      <c r="B11457" s="1"/>
      <c r="C11457" s="1"/>
      <c r="D11457" s="1"/>
      <c r="E11457" s="62"/>
      <c r="F11457" s="6"/>
      <c r="G11457" s="65"/>
      <c r="H11457" s="65"/>
    </row>
    <row r="11458" spans="1:8" s="61" customFormat="1" hidden="1">
      <c r="A11458" s="1"/>
      <c r="B11458" s="1"/>
      <c r="C11458" s="1"/>
      <c r="D11458" s="1"/>
      <c r="E11458" s="62"/>
      <c r="F11458" s="6"/>
      <c r="G11458" s="65"/>
      <c r="H11458" s="65"/>
    </row>
    <row r="11459" spans="1:8" s="61" customFormat="1" hidden="1">
      <c r="A11459" s="1"/>
      <c r="B11459" s="1"/>
      <c r="C11459" s="1"/>
      <c r="D11459" s="1"/>
      <c r="E11459" s="62"/>
      <c r="F11459" s="6"/>
      <c r="G11459" s="65"/>
      <c r="H11459" s="65"/>
    </row>
    <row r="11460" spans="1:8" s="61" customFormat="1" hidden="1">
      <c r="A11460" s="1"/>
      <c r="B11460" s="1"/>
      <c r="C11460" s="1"/>
      <c r="D11460" s="1"/>
      <c r="E11460" s="62"/>
      <c r="F11460" s="6"/>
      <c r="G11460" s="65"/>
      <c r="H11460" s="65"/>
    </row>
    <row r="11461" spans="1:8" s="61" customFormat="1" hidden="1">
      <c r="A11461" s="1"/>
      <c r="B11461" s="1"/>
      <c r="C11461" s="1"/>
      <c r="D11461" s="1"/>
      <c r="E11461" s="62"/>
      <c r="F11461" s="6"/>
      <c r="G11461" s="65"/>
      <c r="H11461" s="65"/>
    </row>
    <row r="11462" spans="1:8" s="61" customFormat="1" hidden="1">
      <c r="A11462" s="1"/>
      <c r="B11462" s="1"/>
      <c r="C11462" s="1"/>
      <c r="D11462" s="1"/>
      <c r="E11462" s="62"/>
      <c r="F11462" s="6"/>
      <c r="G11462" s="65"/>
      <c r="H11462" s="65"/>
    </row>
    <row r="11463" spans="1:8" s="61" customFormat="1" hidden="1">
      <c r="A11463" s="1"/>
      <c r="B11463" s="1"/>
      <c r="C11463" s="1"/>
      <c r="D11463" s="1"/>
      <c r="E11463" s="62"/>
      <c r="F11463" s="6"/>
      <c r="G11463" s="65"/>
      <c r="H11463" s="65"/>
    </row>
    <row r="11464" spans="1:8" s="61" customFormat="1" hidden="1">
      <c r="A11464" s="1"/>
      <c r="B11464" s="1"/>
      <c r="C11464" s="1"/>
      <c r="D11464" s="1"/>
      <c r="E11464" s="62"/>
      <c r="F11464" s="6"/>
      <c r="G11464" s="65"/>
      <c r="H11464" s="65"/>
    </row>
    <row r="11465" spans="1:8" s="61" customFormat="1" hidden="1">
      <c r="A11465" s="1"/>
      <c r="B11465" s="1"/>
      <c r="C11465" s="1"/>
      <c r="D11465" s="1"/>
      <c r="E11465" s="62"/>
      <c r="F11465" s="6"/>
      <c r="G11465" s="65"/>
      <c r="H11465" s="65"/>
    </row>
    <row r="11466" spans="1:8" s="61" customFormat="1" hidden="1">
      <c r="A11466" s="1"/>
      <c r="B11466" s="1"/>
      <c r="C11466" s="1"/>
      <c r="D11466" s="1"/>
      <c r="E11466" s="62"/>
      <c r="F11466" s="6"/>
      <c r="G11466" s="65"/>
      <c r="H11466" s="65"/>
    </row>
    <row r="11467" spans="1:8" s="61" customFormat="1" hidden="1">
      <c r="A11467" s="1"/>
      <c r="B11467" s="1"/>
      <c r="C11467" s="1"/>
      <c r="D11467" s="1"/>
      <c r="E11467" s="62"/>
      <c r="F11467" s="6"/>
      <c r="G11467" s="65"/>
      <c r="H11467" s="65"/>
    </row>
    <row r="11468" spans="1:8" s="61" customFormat="1" hidden="1">
      <c r="A11468" s="1"/>
      <c r="B11468" s="1"/>
      <c r="C11468" s="1"/>
      <c r="D11468" s="1"/>
      <c r="E11468" s="62"/>
      <c r="F11468" s="6"/>
      <c r="G11468" s="65"/>
      <c r="H11468" s="65"/>
    </row>
    <row r="11469" spans="1:8" s="61" customFormat="1" hidden="1">
      <c r="A11469" s="1"/>
      <c r="B11469" s="1"/>
      <c r="C11469" s="1"/>
      <c r="D11469" s="1"/>
      <c r="E11469" s="62"/>
      <c r="F11469" s="6"/>
      <c r="G11469" s="65"/>
      <c r="H11469" s="65"/>
    </row>
    <row r="11470" spans="1:8" s="61" customFormat="1" hidden="1">
      <c r="A11470" s="1"/>
      <c r="B11470" s="1"/>
      <c r="C11470" s="1"/>
      <c r="D11470" s="1"/>
      <c r="E11470" s="62"/>
      <c r="F11470" s="6"/>
      <c r="G11470" s="65"/>
      <c r="H11470" s="65"/>
    </row>
    <row r="11471" spans="1:8" s="61" customFormat="1" hidden="1">
      <c r="A11471" s="1"/>
      <c r="B11471" s="1"/>
      <c r="C11471" s="1"/>
      <c r="D11471" s="1"/>
      <c r="E11471" s="62"/>
      <c r="F11471" s="6"/>
      <c r="G11471" s="65"/>
      <c r="H11471" s="65"/>
    </row>
    <row r="11472" spans="1:8" s="61" customFormat="1" hidden="1">
      <c r="A11472" s="1"/>
      <c r="B11472" s="1"/>
      <c r="C11472" s="1"/>
      <c r="D11472" s="1"/>
      <c r="E11472" s="62"/>
      <c r="F11472" s="6"/>
      <c r="G11472" s="65"/>
      <c r="H11472" s="65"/>
    </row>
    <row r="11473" spans="1:8" s="61" customFormat="1" hidden="1">
      <c r="A11473" s="1"/>
      <c r="B11473" s="1"/>
      <c r="C11473" s="1"/>
      <c r="D11473" s="1"/>
      <c r="E11473" s="62"/>
      <c r="F11473" s="6"/>
      <c r="G11473" s="65"/>
      <c r="H11473" s="65"/>
    </row>
    <row r="11474" spans="1:8" s="61" customFormat="1" hidden="1">
      <c r="A11474" s="1"/>
      <c r="B11474" s="1"/>
      <c r="C11474" s="1"/>
      <c r="D11474" s="1"/>
      <c r="E11474" s="62"/>
      <c r="F11474" s="6"/>
      <c r="G11474" s="65"/>
      <c r="H11474" s="65"/>
    </row>
    <row r="11475" spans="1:8" s="61" customFormat="1" hidden="1">
      <c r="A11475" s="1"/>
      <c r="B11475" s="1"/>
      <c r="C11475" s="1"/>
      <c r="D11475" s="1"/>
      <c r="E11475" s="62"/>
      <c r="F11475" s="6"/>
      <c r="G11475" s="65"/>
      <c r="H11475" s="65"/>
    </row>
    <row r="11476" spans="1:8" s="61" customFormat="1" hidden="1">
      <c r="A11476" s="1"/>
      <c r="B11476" s="1"/>
      <c r="C11476" s="1"/>
      <c r="D11476" s="1"/>
      <c r="E11476" s="62"/>
      <c r="F11476" s="6"/>
      <c r="G11476" s="65"/>
      <c r="H11476" s="65"/>
    </row>
    <row r="11477" spans="1:8" s="61" customFormat="1" hidden="1">
      <c r="A11477" s="1"/>
      <c r="B11477" s="1"/>
      <c r="C11477" s="1"/>
      <c r="D11477" s="1"/>
      <c r="E11477" s="62"/>
      <c r="F11477" s="6"/>
      <c r="G11477" s="65"/>
      <c r="H11477" s="65"/>
    </row>
    <row r="11478" spans="1:8" s="61" customFormat="1" hidden="1">
      <c r="A11478" s="1"/>
      <c r="B11478" s="1"/>
      <c r="C11478" s="1"/>
      <c r="D11478" s="1"/>
      <c r="E11478" s="62"/>
      <c r="F11478" s="6"/>
      <c r="G11478" s="65"/>
      <c r="H11478" s="65"/>
    </row>
    <row r="11479" spans="1:8" s="61" customFormat="1" hidden="1">
      <c r="A11479" s="1"/>
      <c r="B11479" s="1"/>
      <c r="C11479" s="1"/>
      <c r="D11479" s="1"/>
      <c r="E11479" s="62"/>
      <c r="F11479" s="6"/>
      <c r="G11479" s="65"/>
      <c r="H11479" s="65"/>
    </row>
    <row r="11480" spans="1:8" s="61" customFormat="1" hidden="1">
      <c r="A11480" s="1"/>
      <c r="B11480" s="1"/>
      <c r="C11480" s="1"/>
      <c r="D11480" s="1"/>
      <c r="E11480" s="62"/>
      <c r="F11480" s="6"/>
      <c r="G11480" s="65"/>
      <c r="H11480" s="65"/>
    </row>
    <row r="11481" spans="1:8" s="61" customFormat="1" hidden="1">
      <c r="A11481" s="1"/>
      <c r="B11481" s="1"/>
      <c r="C11481" s="1"/>
      <c r="D11481" s="1"/>
      <c r="E11481" s="62"/>
      <c r="F11481" s="6"/>
      <c r="G11481" s="65"/>
      <c r="H11481" s="65"/>
    </row>
    <row r="11482" spans="1:8" s="61" customFormat="1" hidden="1">
      <c r="A11482" s="1"/>
      <c r="B11482" s="1"/>
      <c r="C11482" s="1"/>
      <c r="D11482" s="1"/>
      <c r="E11482" s="62"/>
      <c r="F11482" s="6"/>
      <c r="G11482" s="65"/>
      <c r="H11482" s="65"/>
    </row>
    <row r="11483" spans="1:8" s="61" customFormat="1" hidden="1">
      <c r="A11483" s="1"/>
      <c r="B11483" s="1"/>
      <c r="C11483" s="1"/>
      <c r="D11483" s="1"/>
      <c r="E11483" s="62"/>
      <c r="F11483" s="6"/>
      <c r="G11483" s="65"/>
      <c r="H11483" s="65"/>
    </row>
    <row r="11484" spans="1:8" s="61" customFormat="1" hidden="1">
      <c r="A11484" s="1"/>
      <c r="B11484" s="1"/>
      <c r="C11484" s="1"/>
      <c r="D11484" s="1"/>
      <c r="E11484" s="62"/>
      <c r="F11484" s="6"/>
      <c r="G11484" s="65"/>
      <c r="H11484" s="65"/>
    </row>
    <row r="11485" spans="1:8" s="61" customFormat="1" hidden="1">
      <c r="A11485" s="1"/>
      <c r="B11485" s="1"/>
      <c r="C11485" s="1"/>
      <c r="D11485" s="1"/>
      <c r="E11485" s="62"/>
      <c r="F11485" s="6"/>
      <c r="G11485" s="65"/>
      <c r="H11485" s="65"/>
    </row>
    <row r="11486" spans="1:8" s="61" customFormat="1" hidden="1">
      <c r="A11486" s="1"/>
      <c r="B11486" s="1"/>
      <c r="C11486" s="1"/>
      <c r="D11486" s="1"/>
      <c r="E11486" s="62"/>
      <c r="F11486" s="6"/>
      <c r="G11486" s="65"/>
      <c r="H11486" s="65"/>
    </row>
    <row r="11487" spans="1:8" s="61" customFormat="1" hidden="1">
      <c r="A11487" s="1"/>
      <c r="B11487" s="1"/>
      <c r="C11487" s="1"/>
      <c r="D11487" s="1"/>
      <c r="E11487" s="62"/>
      <c r="F11487" s="6"/>
      <c r="G11487" s="65"/>
      <c r="H11487" s="65"/>
    </row>
    <row r="11488" spans="1:8" s="61" customFormat="1" hidden="1">
      <c r="A11488" s="1"/>
      <c r="B11488" s="1"/>
      <c r="C11488" s="1"/>
      <c r="D11488" s="1"/>
      <c r="E11488" s="62"/>
      <c r="F11488" s="6"/>
      <c r="G11488" s="65"/>
      <c r="H11488" s="65"/>
    </row>
    <row r="11489" spans="1:8" s="61" customFormat="1" hidden="1">
      <c r="A11489" s="1"/>
      <c r="B11489" s="1"/>
      <c r="C11489" s="1"/>
      <c r="D11489" s="1"/>
      <c r="E11489" s="62"/>
      <c r="F11489" s="6"/>
      <c r="G11489" s="65"/>
      <c r="H11489" s="65"/>
    </row>
    <row r="11490" spans="1:8" s="61" customFormat="1" hidden="1">
      <c r="A11490" s="1"/>
      <c r="B11490" s="1"/>
      <c r="C11490" s="1"/>
      <c r="D11490" s="1"/>
      <c r="E11490" s="62"/>
      <c r="F11490" s="6"/>
      <c r="G11490" s="65"/>
      <c r="H11490" s="65"/>
    </row>
    <row r="11491" spans="1:8" s="61" customFormat="1" hidden="1">
      <c r="A11491" s="1"/>
      <c r="B11491" s="1"/>
      <c r="C11491" s="1"/>
      <c r="D11491" s="1"/>
      <c r="E11491" s="62"/>
      <c r="F11491" s="6"/>
      <c r="G11491" s="65"/>
      <c r="H11491" s="65"/>
    </row>
    <row r="11492" spans="1:8" s="61" customFormat="1" hidden="1">
      <c r="A11492" s="1"/>
      <c r="B11492" s="1"/>
      <c r="C11492" s="1"/>
      <c r="D11492" s="1"/>
      <c r="E11492" s="62"/>
      <c r="F11492" s="6"/>
      <c r="G11492" s="65"/>
      <c r="H11492" s="65"/>
    </row>
    <row r="11493" spans="1:8" s="61" customFormat="1" hidden="1">
      <c r="A11493" s="1"/>
      <c r="B11493" s="1"/>
      <c r="C11493" s="1"/>
      <c r="D11493" s="1"/>
      <c r="E11493" s="62"/>
      <c r="F11493" s="6"/>
      <c r="G11493" s="65"/>
      <c r="H11493" s="65"/>
    </row>
    <row r="11494" spans="1:8" s="61" customFormat="1" hidden="1">
      <c r="A11494" s="1"/>
      <c r="B11494" s="1"/>
      <c r="C11494" s="1"/>
      <c r="D11494" s="1"/>
      <c r="E11494" s="62"/>
      <c r="F11494" s="6"/>
      <c r="G11494" s="65"/>
      <c r="H11494" s="65"/>
    </row>
    <row r="11495" spans="1:8" s="61" customFormat="1" hidden="1">
      <c r="A11495" s="1"/>
      <c r="B11495" s="1"/>
      <c r="C11495" s="1"/>
      <c r="D11495" s="1"/>
      <c r="E11495" s="62"/>
      <c r="F11495" s="6"/>
      <c r="G11495" s="65"/>
      <c r="H11495" s="65"/>
    </row>
    <row r="11496" spans="1:8" s="61" customFormat="1" hidden="1">
      <c r="A11496" s="1"/>
      <c r="B11496" s="1"/>
      <c r="C11496" s="1"/>
      <c r="D11496" s="1"/>
      <c r="E11496" s="62"/>
      <c r="F11496" s="6"/>
      <c r="G11496" s="65"/>
      <c r="H11496" s="65"/>
    </row>
    <row r="11497" spans="1:8" s="61" customFormat="1" hidden="1">
      <c r="A11497" s="1"/>
      <c r="B11497" s="1"/>
      <c r="C11497" s="1"/>
      <c r="D11497" s="1"/>
      <c r="E11497" s="62"/>
      <c r="F11497" s="6"/>
      <c r="G11497" s="65"/>
      <c r="H11497" s="65"/>
    </row>
    <row r="11498" spans="1:8" s="61" customFormat="1" hidden="1">
      <c r="A11498" s="1"/>
      <c r="B11498" s="1"/>
      <c r="C11498" s="1"/>
      <c r="D11498" s="1"/>
      <c r="E11498" s="62"/>
      <c r="F11498" s="6"/>
      <c r="G11498" s="65"/>
      <c r="H11498" s="65"/>
    </row>
    <row r="11499" spans="1:8" s="61" customFormat="1" hidden="1">
      <c r="A11499" s="1"/>
      <c r="B11499" s="1"/>
      <c r="C11499" s="1"/>
      <c r="D11499" s="1"/>
      <c r="E11499" s="62"/>
      <c r="F11499" s="6"/>
      <c r="G11499" s="65"/>
      <c r="H11499" s="65"/>
    </row>
    <row r="11500" spans="1:8" s="61" customFormat="1" hidden="1">
      <c r="A11500" s="1"/>
      <c r="B11500" s="1"/>
      <c r="C11500" s="1"/>
      <c r="D11500" s="1"/>
      <c r="E11500" s="62"/>
      <c r="F11500" s="6"/>
      <c r="G11500" s="65"/>
      <c r="H11500" s="65"/>
    </row>
    <row r="11501" spans="1:8" s="61" customFormat="1" hidden="1">
      <c r="A11501" s="1"/>
      <c r="B11501" s="1"/>
      <c r="C11501" s="1"/>
      <c r="D11501" s="1"/>
      <c r="E11501" s="62"/>
      <c r="F11501" s="6"/>
      <c r="G11501" s="65"/>
      <c r="H11501" s="65"/>
    </row>
    <row r="11502" spans="1:8" s="61" customFormat="1" hidden="1">
      <c r="A11502" s="1"/>
      <c r="B11502" s="1"/>
      <c r="C11502" s="1"/>
      <c r="D11502" s="1"/>
      <c r="E11502" s="62"/>
      <c r="F11502" s="6"/>
      <c r="G11502" s="65"/>
      <c r="H11502" s="65"/>
    </row>
    <row r="11503" spans="1:8" s="61" customFormat="1" hidden="1">
      <c r="A11503" s="1"/>
      <c r="B11503" s="1"/>
      <c r="C11503" s="1"/>
      <c r="D11503" s="1"/>
      <c r="E11503" s="62"/>
      <c r="F11503" s="6"/>
      <c r="G11503" s="65"/>
      <c r="H11503" s="65"/>
    </row>
    <row r="11504" spans="1:8" s="61" customFormat="1" hidden="1">
      <c r="A11504" s="1"/>
      <c r="B11504" s="1"/>
      <c r="C11504" s="1"/>
      <c r="D11504" s="1"/>
      <c r="E11504" s="62"/>
      <c r="F11504" s="6"/>
      <c r="G11504" s="65"/>
      <c r="H11504" s="65"/>
    </row>
    <row r="11505" spans="1:8" s="61" customFormat="1" hidden="1">
      <c r="A11505" s="1"/>
      <c r="B11505" s="1"/>
      <c r="C11505" s="1"/>
      <c r="D11505" s="1"/>
      <c r="E11505" s="62"/>
      <c r="F11505" s="6"/>
      <c r="G11505" s="65"/>
      <c r="H11505" s="65"/>
    </row>
    <row r="11506" spans="1:8" s="61" customFormat="1" hidden="1">
      <c r="A11506" s="1"/>
      <c r="B11506" s="1"/>
      <c r="C11506" s="1"/>
      <c r="D11506" s="1"/>
      <c r="E11506" s="62"/>
      <c r="F11506" s="6"/>
      <c r="G11506" s="65"/>
      <c r="H11506" s="65"/>
    </row>
    <row r="11507" spans="1:8" s="61" customFormat="1" hidden="1">
      <c r="A11507" s="1"/>
      <c r="B11507" s="1"/>
      <c r="C11507" s="1"/>
      <c r="D11507" s="1"/>
      <c r="E11507" s="62"/>
      <c r="F11507" s="6"/>
      <c r="G11507" s="65"/>
      <c r="H11507" s="65"/>
    </row>
    <row r="11508" spans="1:8" s="61" customFormat="1" hidden="1">
      <c r="A11508" s="1"/>
      <c r="B11508" s="1"/>
      <c r="C11508" s="1"/>
      <c r="D11508" s="1"/>
      <c r="E11508" s="62"/>
      <c r="F11508" s="6"/>
      <c r="G11508" s="65"/>
      <c r="H11508" s="65"/>
    </row>
    <row r="11509" spans="1:8" s="61" customFormat="1" hidden="1">
      <c r="A11509" s="1"/>
      <c r="B11509" s="1"/>
      <c r="C11509" s="1"/>
      <c r="D11509" s="1"/>
      <c r="E11509" s="62"/>
      <c r="F11509" s="6"/>
      <c r="G11509" s="65"/>
      <c r="H11509" s="65"/>
    </row>
    <row r="11510" spans="1:8" s="61" customFormat="1" hidden="1">
      <c r="A11510" s="1"/>
      <c r="B11510" s="1"/>
      <c r="C11510" s="1"/>
      <c r="D11510" s="1"/>
      <c r="E11510" s="62"/>
      <c r="F11510" s="6"/>
      <c r="G11510" s="65"/>
      <c r="H11510" s="65"/>
    </row>
    <row r="11511" spans="1:8" s="61" customFormat="1" hidden="1">
      <c r="A11511" s="1"/>
      <c r="B11511" s="1"/>
      <c r="C11511" s="1"/>
      <c r="D11511" s="1"/>
      <c r="E11511" s="62"/>
      <c r="F11511" s="6"/>
      <c r="G11511" s="65"/>
      <c r="H11511" s="65"/>
    </row>
    <row r="11512" spans="1:8" s="61" customFormat="1" hidden="1">
      <c r="A11512" s="1"/>
      <c r="B11512" s="1"/>
      <c r="C11512" s="1"/>
      <c r="D11512" s="1"/>
      <c r="E11512" s="62"/>
      <c r="F11512" s="6"/>
      <c r="G11512" s="65"/>
      <c r="H11512" s="65"/>
    </row>
    <row r="11513" spans="1:8" s="61" customFormat="1" hidden="1">
      <c r="A11513" s="1"/>
      <c r="B11513" s="1"/>
      <c r="C11513" s="1"/>
      <c r="D11513" s="1"/>
      <c r="E11513" s="62"/>
      <c r="F11513" s="6"/>
      <c r="G11513" s="65"/>
      <c r="H11513" s="65"/>
    </row>
    <row r="11514" spans="1:8" s="61" customFormat="1" hidden="1">
      <c r="A11514" s="1"/>
      <c r="B11514" s="1"/>
      <c r="C11514" s="1"/>
      <c r="D11514" s="1"/>
      <c r="E11514" s="62"/>
      <c r="F11514" s="6"/>
      <c r="G11514" s="65"/>
      <c r="H11514" s="65"/>
    </row>
    <row r="11515" spans="1:8" s="61" customFormat="1" hidden="1">
      <c r="A11515" s="1"/>
      <c r="B11515" s="1"/>
      <c r="C11515" s="1"/>
      <c r="D11515" s="1"/>
      <c r="E11515" s="62"/>
      <c r="F11515" s="6"/>
      <c r="G11515" s="65"/>
      <c r="H11515" s="65"/>
    </row>
    <row r="11516" spans="1:8" s="61" customFormat="1" hidden="1">
      <c r="A11516" s="1"/>
      <c r="B11516" s="1"/>
      <c r="C11516" s="1"/>
      <c r="D11516" s="1"/>
      <c r="E11516" s="62"/>
      <c r="F11516" s="6"/>
      <c r="G11516" s="65"/>
      <c r="H11516" s="65"/>
    </row>
    <row r="11517" spans="1:8" s="61" customFormat="1" hidden="1">
      <c r="A11517" s="1"/>
      <c r="B11517" s="1"/>
      <c r="C11517" s="1"/>
      <c r="D11517" s="1"/>
      <c r="E11517" s="62"/>
      <c r="F11517" s="6"/>
      <c r="G11517" s="65"/>
      <c r="H11517" s="65"/>
    </row>
    <row r="11518" spans="1:8" s="61" customFormat="1" hidden="1">
      <c r="A11518" s="1"/>
      <c r="B11518" s="1"/>
      <c r="C11518" s="1"/>
      <c r="D11518" s="1"/>
      <c r="E11518" s="62"/>
      <c r="F11518" s="6"/>
      <c r="G11518" s="65"/>
      <c r="H11518" s="65"/>
    </row>
    <row r="11519" spans="1:8" s="61" customFormat="1" hidden="1">
      <c r="A11519" s="1"/>
      <c r="B11519" s="1"/>
      <c r="C11519" s="1"/>
      <c r="D11519" s="1"/>
      <c r="E11519" s="62"/>
      <c r="F11519" s="6"/>
      <c r="G11519" s="65"/>
      <c r="H11519" s="65"/>
    </row>
    <row r="11520" spans="1:8" s="61" customFormat="1" hidden="1">
      <c r="A11520" s="1"/>
      <c r="B11520" s="1"/>
      <c r="C11520" s="1"/>
      <c r="D11520" s="1"/>
      <c r="E11520" s="62"/>
      <c r="F11520" s="6"/>
      <c r="G11520" s="65"/>
      <c r="H11520" s="65"/>
    </row>
    <row r="11521" spans="1:8" s="61" customFormat="1" hidden="1">
      <c r="A11521" s="1"/>
      <c r="B11521" s="1"/>
      <c r="C11521" s="1"/>
      <c r="D11521" s="1"/>
      <c r="E11521" s="62"/>
      <c r="F11521" s="6"/>
      <c r="G11521" s="65"/>
      <c r="H11521" s="65"/>
    </row>
    <row r="11522" spans="1:8" s="61" customFormat="1" hidden="1">
      <c r="A11522" s="1"/>
      <c r="B11522" s="1"/>
      <c r="C11522" s="1"/>
      <c r="D11522" s="1"/>
      <c r="E11522" s="62"/>
      <c r="F11522" s="6"/>
      <c r="G11522" s="65"/>
      <c r="H11522" s="65"/>
    </row>
    <row r="11523" spans="1:8" s="61" customFormat="1" hidden="1">
      <c r="A11523" s="1"/>
      <c r="B11523" s="1"/>
      <c r="C11523" s="1"/>
      <c r="D11523" s="1"/>
      <c r="E11523" s="62"/>
      <c r="F11523" s="6"/>
      <c r="G11523" s="65"/>
      <c r="H11523" s="65"/>
    </row>
    <row r="11524" spans="1:8" s="61" customFormat="1" hidden="1">
      <c r="A11524" s="1"/>
      <c r="B11524" s="1"/>
      <c r="C11524" s="1"/>
      <c r="D11524" s="1"/>
      <c r="E11524" s="62"/>
      <c r="F11524" s="6"/>
      <c r="G11524" s="65"/>
      <c r="H11524" s="65"/>
    </row>
    <row r="11525" spans="1:8" s="61" customFormat="1" hidden="1">
      <c r="A11525" s="1"/>
      <c r="B11525" s="1"/>
      <c r="C11525" s="1"/>
      <c r="D11525" s="1"/>
      <c r="E11525" s="62"/>
      <c r="F11525" s="6"/>
      <c r="G11525" s="65"/>
      <c r="H11525" s="65"/>
    </row>
    <row r="11526" spans="1:8" s="61" customFormat="1" hidden="1">
      <c r="A11526" s="1"/>
      <c r="B11526" s="1"/>
      <c r="C11526" s="1"/>
      <c r="D11526" s="1"/>
      <c r="E11526" s="62"/>
      <c r="F11526" s="6"/>
      <c r="G11526" s="65"/>
      <c r="H11526" s="65"/>
    </row>
    <row r="11527" spans="1:8" s="61" customFormat="1" hidden="1">
      <c r="A11527" s="1"/>
      <c r="B11527" s="1"/>
      <c r="C11527" s="1"/>
      <c r="D11527" s="1"/>
      <c r="E11527" s="62"/>
      <c r="F11527" s="6"/>
      <c r="G11527" s="65"/>
      <c r="H11527" s="65"/>
    </row>
    <row r="11528" spans="1:8" s="61" customFormat="1" hidden="1">
      <c r="A11528" s="1"/>
      <c r="B11528" s="1"/>
      <c r="C11528" s="1"/>
      <c r="D11528" s="1"/>
      <c r="E11528" s="62"/>
      <c r="F11528" s="6"/>
      <c r="G11528" s="65"/>
      <c r="H11528" s="65"/>
    </row>
    <row r="11529" spans="1:8" s="61" customFormat="1" hidden="1">
      <c r="A11529" s="1"/>
      <c r="B11529" s="1"/>
      <c r="C11529" s="1"/>
      <c r="D11529" s="1"/>
      <c r="E11529" s="62"/>
      <c r="F11529" s="6"/>
      <c r="G11529" s="65"/>
      <c r="H11529" s="65"/>
    </row>
    <row r="11530" spans="1:8" s="61" customFormat="1" hidden="1">
      <c r="A11530" s="1"/>
      <c r="B11530" s="1"/>
      <c r="C11530" s="1"/>
      <c r="D11530" s="1"/>
      <c r="E11530" s="62"/>
      <c r="F11530" s="6"/>
      <c r="G11530" s="65"/>
      <c r="H11530" s="65"/>
    </row>
    <row r="11531" spans="1:8" s="61" customFormat="1" hidden="1">
      <c r="A11531" s="1"/>
      <c r="B11531" s="1"/>
      <c r="C11531" s="1"/>
      <c r="D11531" s="1"/>
      <c r="E11531" s="62"/>
      <c r="F11531" s="6"/>
      <c r="G11531" s="65"/>
      <c r="H11531" s="65"/>
    </row>
    <row r="11532" spans="1:8" s="61" customFormat="1" hidden="1">
      <c r="A11532" s="1"/>
      <c r="B11532" s="1"/>
      <c r="C11532" s="1"/>
      <c r="D11532" s="1"/>
      <c r="E11532" s="62"/>
      <c r="F11532" s="6"/>
      <c r="G11532" s="65"/>
      <c r="H11532" s="65"/>
    </row>
    <row r="11533" spans="1:8" s="61" customFormat="1" hidden="1">
      <c r="A11533" s="1"/>
      <c r="B11533" s="1"/>
      <c r="C11533" s="1"/>
      <c r="D11533" s="1"/>
      <c r="E11533" s="62"/>
      <c r="F11533" s="6"/>
      <c r="G11533" s="65"/>
      <c r="H11533" s="65"/>
    </row>
    <row r="11534" spans="1:8" s="61" customFormat="1" hidden="1">
      <c r="A11534" s="1"/>
      <c r="B11534" s="1"/>
      <c r="C11534" s="1"/>
      <c r="D11534" s="1"/>
      <c r="E11534" s="62"/>
      <c r="F11534" s="6"/>
      <c r="G11534" s="65"/>
      <c r="H11534" s="65"/>
    </row>
    <row r="11535" spans="1:8" s="61" customFormat="1" hidden="1">
      <c r="A11535" s="1"/>
      <c r="B11535" s="1"/>
      <c r="C11535" s="1"/>
      <c r="D11535" s="1"/>
      <c r="E11535" s="62"/>
      <c r="F11535" s="6"/>
      <c r="G11535" s="65"/>
      <c r="H11535" s="65"/>
    </row>
    <row r="11536" spans="1:8" s="61" customFormat="1" hidden="1">
      <c r="A11536" s="1"/>
      <c r="B11536" s="1"/>
      <c r="C11536" s="1"/>
      <c r="D11536" s="1"/>
      <c r="E11536" s="62"/>
      <c r="F11536" s="6"/>
      <c r="G11536" s="65"/>
      <c r="H11536" s="65"/>
    </row>
    <row r="11537" spans="1:8" s="61" customFormat="1" hidden="1">
      <c r="A11537" s="1"/>
      <c r="B11537" s="1"/>
      <c r="C11537" s="1"/>
      <c r="D11537" s="1"/>
      <c r="E11537" s="62"/>
      <c r="F11537" s="6"/>
      <c r="G11537" s="65"/>
      <c r="H11537" s="65"/>
    </row>
    <row r="11538" spans="1:8" s="61" customFormat="1" hidden="1">
      <c r="A11538" s="1"/>
      <c r="B11538" s="1"/>
      <c r="C11538" s="1"/>
      <c r="D11538" s="1"/>
      <c r="E11538" s="62"/>
      <c r="F11538" s="6"/>
      <c r="G11538" s="65"/>
      <c r="H11538" s="65"/>
    </row>
    <row r="11539" spans="1:8" s="61" customFormat="1" hidden="1">
      <c r="A11539" s="1"/>
      <c r="B11539" s="1"/>
      <c r="C11539" s="1"/>
      <c r="D11539" s="1"/>
      <c r="E11539" s="62"/>
      <c r="F11539" s="6"/>
      <c r="G11539" s="65"/>
      <c r="H11539" s="65"/>
    </row>
    <row r="11540" spans="1:8" s="61" customFormat="1" hidden="1">
      <c r="A11540" s="1"/>
      <c r="B11540" s="1"/>
      <c r="C11540" s="1"/>
      <c r="D11540" s="1"/>
      <c r="E11540" s="62"/>
      <c r="F11540" s="6"/>
      <c r="G11540" s="65"/>
      <c r="H11540" s="65"/>
    </row>
    <row r="11541" spans="1:8" s="61" customFormat="1" hidden="1">
      <c r="A11541" s="1"/>
      <c r="B11541" s="1"/>
      <c r="C11541" s="1"/>
      <c r="D11541" s="1"/>
      <c r="E11541" s="62"/>
      <c r="F11541" s="6"/>
      <c r="G11541" s="65"/>
      <c r="H11541" s="65"/>
    </row>
    <row r="11542" spans="1:8" s="61" customFormat="1" hidden="1">
      <c r="A11542" s="1"/>
      <c r="B11542" s="1"/>
      <c r="C11542" s="1"/>
      <c r="D11542" s="1"/>
      <c r="E11542" s="62"/>
      <c r="F11542" s="6"/>
      <c r="G11542" s="65"/>
      <c r="H11542" s="65"/>
    </row>
    <row r="11543" spans="1:8" s="61" customFormat="1" hidden="1">
      <c r="A11543" s="1"/>
      <c r="B11543" s="1"/>
      <c r="C11543" s="1"/>
      <c r="D11543" s="1"/>
      <c r="E11543" s="62"/>
      <c r="F11543" s="6"/>
      <c r="G11543" s="65"/>
      <c r="H11543" s="65"/>
    </row>
    <row r="11544" spans="1:8" s="61" customFormat="1" hidden="1">
      <c r="A11544" s="1"/>
      <c r="B11544" s="1"/>
      <c r="C11544" s="1"/>
      <c r="D11544" s="1"/>
      <c r="E11544" s="62"/>
      <c r="F11544" s="6"/>
      <c r="G11544" s="65"/>
      <c r="H11544" s="65"/>
    </row>
    <row r="11545" spans="1:8" s="61" customFormat="1" hidden="1">
      <c r="A11545" s="1"/>
      <c r="B11545" s="1"/>
      <c r="C11545" s="1"/>
      <c r="D11545" s="1"/>
      <c r="E11545" s="62"/>
      <c r="F11545" s="6"/>
      <c r="G11545" s="65"/>
      <c r="H11545" s="65"/>
    </row>
    <row r="11546" spans="1:8" s="61" customFormat="1" hidden="1">
      <c r="A11546" s="1"/>
      <c r="B11546" s="1"/>
      <c r="C11546" s="1"/>
      <c r="D11546" s="1"/>
      <c r="E11546" s="62"/>
      <c r="F11546" s="6"/>
      <c r="G11546" s="65"/>
      <c r="H11546" s="65"/>
    </row>
    <row r="11547" spans="1:8" s="61" customFormat="1" hidden="1">
      <c r="A11547" s="1"/>
      <c r="B11547" s="1"/>
      <c r="C11547" s="1"/>
      <c r="D11547" s="1"/>
      <c r="E11547" s="62"/>
      <c r="F11547" s="6"/>
      <c r="G11547" s="65"/>
      <c r="H11547" s="65"/>
    </row>
    <row r="11548" spans="1:8" s="61" customFormat="1" hidden="1">
      <c r="A11548" s="1"/>
      <c r="B11548" s="1"/>
      <c r="C11548" s="1"/>
      <c r="D11548" s="1"/>
      <c r="E11548" s="62"/>
      <c r="F11548" s="6"/>
      <c r="G11548" s="65"/>
      <c r="H11548" s="65"/>
    </row>
    <row r="11549" spans="1:8" s="61" customFormat="1" hidden="1">
      <c r="A11549" s="1"/>
      <c r="B11549" s="1"/>
      <c r="C11549" s="1"/>
      <c r="D11549" s="1"/>
      <c r="E11549" s="62"/>
      <c r="F11549" s="6"/>
      <c r="G11549" s="65"/>
      <c r="H11549" s="65"/>
    </row>
    <row r="11550" spans="1:8" s="61" customFormat="1" hidden="1">
      <c r="A11550" s="1"/>
      <c r="B11550" s="1"/>
      <c r="C11550" s="1"/>
      <c r="D11550" s="1"/>
      <c r="E11550" s="62"/>
      <c r="F11550" s="6"/>
      <c r="G11550" s="65"/>
      <c r="H11550" s="65"/>
    </row>
    <row r="11551" spans="1:8" s="61" customFormat="1" hidden="1">
      <c r="A11551" s="1"/>
      <c r="B11551" s="1"/>
      <c r="C11551" s="1"/>
      <c r="D11551" s="1"/>
      <c r="E11551" s="62"/>
      <c r="F11551" s="6"/>
      <c r="G11551" s="65"/>
      <c r="H11551" s="65"/>
    </row>
    <row r="11552" spans="1:8" s="61" customFormat="1" hidden="1">
      <c r="A11552" s="1"/>
      <c r="B11552" s="1"/>
      <c r="C11552" s="1"/>
      <c r="D11552" s="1"/>
      <c r="E11552" s="62"/>
      <c r="F11552" s="6"/>
      <c r="G11552" s="65"/>
      <c r="H11552" s="65"/>
    </row>
    <row r="11553" spans="1:8" s="61" customFormat="1" hidden="1">
      <c r="A11553" s="1"/>
      <c r="B11553" s="1"/>
      <c r="C11553" s="1"/>
      <c r="D11553" s="1"/>
      <c r="E11553" s="62"/>
      <c r="F11553" s="6"/>
      <c r="G11553" s="65"/>
      <c r="H11553" s="65"/>
    </row>
    <row r="11554" spans="1:8" s="61" customFormat="1" hidden="1">
      <c r="A11554" s="1"/>
      <c r="B11554" s="1"/>
      <c r="C11554" s="1"/>
      <c r="D11554" s="1"/>
      <c r="E11554" s="62"/>
      <c r="F11554" s="6"/>
      <c r="G11554" s="65"/>
      <c r="H11554" s="65"/>
    </row>
    <row r="11555" spans="1:8" s="61" customFormat="1" hidden="1">
      <c r="A11555" s="1"/>
      <c r="B11555" s="1"/>
      <c r="C11555" s="1"/>
      <c r="D11555" s="1"/>
      <c r="E11555" s="62"/>
      <c r="F11555" s="6"/>
      <c r="G11555" s="65"/>
      <c r="H11555" s="65"/>
    </row>
    <row r="11556" spans="1:8" s="61" customFormat="1" hidden="1">
      <c r="A11556" s="1"/>
      <c r="B11556" s="1"/>
      <c r="C11556" s="1"/>
      <c r="D11556" s="1"/>
      <c r="E11556" s="62"/>
      <c r="F11556" s="6"/>
      <c r="G11556" s="65"/>
      <c r="H11556" s="65"/>
    </row>
    <row r="11557" spans="1:8" s="61" customFormat="1" hidden="1">
      <c r="A11557" s="1"/>
      <c r="B11557" s="1"/>
      <c r="C11557" s="1"/>
      <c r="D11557" s="1"/>
      <c r="E11557" s="62"/>
      <c r="F11557" s="6"/>
      <c r="G11557" s="65"/>
      <c r="H11557" s="65"/>
    </row>
    <row r="11558" spans="1:8" s="61" customFormat="1" hidden="1">
      <c r="A11558" s="1"/>
      <c r="B11558" s="1"/>
      <c r="C11558" s="1"/>
      <c r="D11558" s="1"/>
      <c r="E11558" s="62"/>
      <c r="F11558" s="6"/>
      <c r="G11558" s="65"/>
      <c r="H11558" s="65"/>
    </row>
    <row r="11559" spans="1:8" s="61" customFormat="1" hidden="1">
      <c r="A11559" s="1"/>
      <c r="B11559" s="1"/>
      <c r="C11559" s="1"/>
      <c r="D11559" s="1"/>
      <c r="E11559" s="62"/>
      <c r="F11559" s="6"/>
      <c r="G11559" s="65"/>
      <c r="H11559" s="65"/>
    </row>
    <row r="11560" spans="1:8" s="61" customFormat="1" hidden="1">
      <c r="A11560" s="1"/>
      <c r="B11560" s="1"/>
      <c r="C11560" s="1"/>
      <c r="D11560" s="1"/>
      <c r="E11560" s="62"/>
      <c r="F11560" s="6"/>
      <c r="G11560" s="65"/>
      <c r="H11560" s="65"/>
    </row>
    <row r="11561" spans="1:8" s="61" customFormat="1" hidden="1">
      <c r="A11561" s="1"/>
      <c r="B11561" s="1"/>
      <c r="C11561" s="1"/>
      <c r="D11561" s="1"/>
      <c r="E11561" s="62"/>
      <c r="F11561" s="6"/>
      <c r="G11561" s="65"/>
      <c r="H11561" s="65"/>
    </row>
    <row r="11562" spans="1:8" s="61" customFormat="1" hidden="1">
      <c r="A11562" s="1"/>
      <c r="B11562" s="1"/>
      <c r="C11562" s="1"/>
      <c r="D11562" s="1"/>
      <c r="E11562" s="62"/>
      <c r="F11562" s="6"/>
      <c r="G11562" s="65"/>
      <c r="H11562" s="65"/>
    </row>
    <row r="11563" spans="1:8" s="61" customFormat="1" hidden="1">
      <c r="A11563" s="1"/>
      <c r="B11563" s="1"/>
      <c r="C11563" s="1"/>
      <c r="D11563" s="1"/>
      <c r="E11563" s="62"/>
      <c r="F11563" s="6"/>
      <c r="G11563" s="65"/>
      <c r="H11563" s="65"/>
    </row>
    <row r="11564" spans="1:8" s="61" customFormat="1" ht="15" hidden="1" customHeight="1">
      <c r="A11564" s="1"/>
      <c r="B11564" s="1"/>
      <c r="C11564" s="1"/>
      <c r="D11564" s="1"/>
      <c r="E11564" s="62"/>
      <c r="F11564" s="6"/>
      <c r="G11564" s="65"/>
      <c r="H11564" s="65"/>
    </row>
    <row r="11565" spans="1:8" s="61" customFormat="1" hidden="1">
      <c r="A11565" s="1"/>
      <c r="B11565" s="1"/>
      <c r="C11565" s="1"/>
      <c r="D11565" s="1"/>
      <c r="E11565" s="62"/>
      <c r="F11565" s="6"/>
      <c r="G11565" s="65"/>
      <c r="H11565" s="65"/>
    </row>
    <row r="11566" spans="1:8" s="61" customFormat="1" hidden="1">
      <c r="A11566" s="1"/>
      <c r="B11566" s="1"/>
      <c r="C11566" s="1"/>
      <c r="D11566" s="1"/>
      <c r="E11566" s="62"/>
      <c r="F11566" s="6"/>
      <c r="G11566" s="65"/>
      <c r="H11566" s="65"/>
    </row>
    <row r="11567" spans="1:8" s="61" customFormat="1" hidden="1">
      <c r="A11567" s="1"/>
      <c r="B11567" s="1"/>
      <c r="C11567" s="1"/>
      <c r="D11567" s="1"/>
      <c r="E11567" s="62"/>
      <c r="F11567" s="6"/>
      <c r="G11567" s="65"/>
      <c r="H11567" s="65"/>
    </row>
    <row r="11568" spans="1:8" s="61" customFormat="1" hidden="1">
      <c r="A11568" s="1"/>
      <c r="B11568" s="1"/>
      <c r="C11568" s="1"/>
      <c r="D11568" s="1"/>
      <c r="E11568" s="62"/>
      <c r="F11568" s="6"/>
      <c r="G11568" s="65"/>
      <c r="H11568" s="65"/>
    </row>
    <row r="11569" spans="1:8" s="61" customFormat="1" hidden="1">
      <c r="A11569" s="1"/>
      <c r="B11569" s="1"/>
      <c r="C11569" s="1"/>
      <c r="D11569" s="1"/>
      <c r="E11569" s="62"/>
      <c r="F11569" s="6"/>
      <c r="G11569" s="65"/>
      <c r="H11569" s="65"/>
    </row>
    <row r="11570" spans="1:8" s="61" customFormat="1" hidden="1">
      <c r="A11570" s="1"/>
      <c r="B11570" s="1"/>
      <c r="C11570" s="1"/>
      <c r="D11570" s="1"/>
      <c r="E11570" s="62"/>
      <c r="F11570" s="6"/>
      <c r="G11570" s="65"/>
      <c r="H11570" s="65"/>
    </row>
    <row r="11571" spans="1:8" s="61" customFormat="1" hidden="1">
      <c r="A11571" s="1"/>
      <c r="B11571" s="1"/>
      <c r="C11571" s="1"/>
      <c r="D11571" s="1"/>
      <c r="E11571" s="62"/>
      <c r="F11571" s="6"/>
      <c r="G11571" s="65"/>
      <c r="H11571" s="65"/>
    </row>
    <row r="11572" spans="1:8" s="61" customFormat="1" hidden="1">
      <c r="A11572" s="1"/>
      <c r="B11572" s="1"/>
      <c r="C11572" s="1"/>
      <c r="D11572" s="1"/>
      <c r="E11572" s="62"/>
      <c r="F11572" s="6"/>
      <c r="G11572" s="65"/>
      <c r="H11572" s="65"/>
    </row>
    <row r="11573" spans="1:8" s="61" customFormat="1" hidden="1">
      <c r="A11573" s="1"/>
      <c r="B11573" s="1"/>
      <c r="C11573" s="1"/>
      <c r="D11573" s="1"/>
      <c r="E11573" s="62"/>
      <c r="F11573" s="6"/>
      <c r="G11573" s="65"/>
      <c r="H11573" s="65"/>
    </row>
    <row r="11574" spans="1:8" s="61" customFormat="1" hidden="1">
      <c r="A11574" s="1"/>
      <c r="B11574" s="1"/>
      <c r="C11574" s="1"/>
      <c r="D11574" s="1"/>
      <c r="E11574" s="62"/>
      <c r="F11574" s="6"/>
      <c r="G11574" s="65"/>
      <c r="H11574" s="65"/>
    </row>
    <row r="11575" spans="1:8" s="61" customFormat="1" hidden="1">
      <c r="A11575" s="1"/>
      <c r="B11575" s="1"/>
      <c r="C11575" s="1"/>
      <c r="D11575" s="1"/>
      <c r="E11575" s="62"/>
      <c r="F11575" s="6"/>
      <c r="G11575" s="65"/>
      <c r="H11575" s="65"/>
    </row>
    <row r="11576" spans="1:8" s="61" customFormat="1" hidden="1">
      <c r="A11576" s="1"/>
      <c r="B11576" s="1"/>
      <c r="C11576" s="1"/>
      <c r="D11576" s="1"/>
      <c r="E11576" s="62"/>
      <c r="F11576" s="6"/>
      <c r="G11576" s="65"/>
      <c r="H11576" s="65"/>
    </row>
    <row r="11577" spans="1:8" s="61" customFormat="1" hidden="1">
      <c r="A11577" s="1"/>
      <c r="B11577" s="1"/>
      <c r="C11577" s="1"/>
      <c r="D11577" s="1"/>
      <c r="E11577" s="62"/>
      <c r="F11577" s="6"/>
      <c r="G11577" s="65"/>
      <c r="H11577" s="65"/>
    </row>
    <row r="11578" spans="1:8" s="61" customFormat="1" hidden="1">
      <c r="A11578" s="1"/>
      <c r="B11578" s="1"/>
      <c r="C11578" s="1"/>
      <c r="D11578" s="1"/>
      <c r="E11578" s="62"/>
      <c r="F11578" s="6"/>
      <c r="G11578" s="65"/>
      <c r="H11578" s="65"/>
    </row>
    <row r="11579" spans="1:8" s="61" customFormat="1" hidden="1">
      <c r="A11579" s="1"/>
      <c r="B11579" s="1"/>
      <c r="C11579" s="1"/>
      <c r="D11579" s="1"/>
      <c r="E11579" s="62"/>
      <c r="F11579" s="6"/>
      <c r="G11579" s="65"/>
      <c r="H11579" s="65"/>
    </row>
    <row r="11580" spans="1:8" s="61" customFormat="1" hidden="1">
      <c r="A11580" s="1"/>
      <c r="B11580" s="1"/>
      <c r="C11580" s="1"/>
      <c r="D11580" s="1"/>
      <c r="E11580" s="62"/>
      <c r="F11580" s="6"/>
      <c r="G11580" s="65"/>
      <c r="H11580" s="65"/>
    </row>
    <row r="11581" spans="1:8" s="61" customFormat="1" hidden="1">
      <c r="A11581" s="1"/>
      <c r="B11581" s="1"/>
      <c r="C11581" s="1"/>
      <c r="D11581" s="1"/>
      <c r="E11581" s="62"/>
      <c r="F11581" s="6"/>
      <c r="G11581" s="65"/>
      <c r="H11581" s="65"/>
    </row>
    <row r="11582" spans="1:8" s="61" customFormat="1" hidden="1">
      <c r="A11582" s="1"/>
      <c r="B11582" s="1"/>
      <c r="C11582" s="1"/>
      <c r="D11582" s="1"/>
      <c r="E11582" s="62"/>
      <c r="F11582" s="6"/>
      <c r="G11582" s="65"/>
      <c r="H11582" s="65"/>
    </row>
    <row r="11583" spans="1:8" s="61" customFormat="1" hidden="1">
      <c r="A11583" s="1"/>
      <c r="B11583" s="1"/>
      <c r="C11583" s="1"/>
      <c r="D11583" s="1"/>
      <c r="E11583" s="62"/>
      <c r="F11583" s="6"/>
      <c r="G11583" s="65"/>
      <c r="H11583" s="65"/>
    </row>
    <row r="11584" spans="1:8" s="61" customFormat="1" hidden="1">
      <c r="A11584" s="1"/>
      <c r="B11584" s="1"/>
      <c r="C11584" s="1"/>
      <c r="D11584" s="1"/>
      <c r="E11584" s="62"/>
      <c r="F11584" s="6"/>
      <c r="G11584" s="65"/>
      <c r="H11584" s="65"/>
    </row>
    <row r="11585" spans="1:8" s="61" customFormat="1" hidden="1">
      <c r="A11585" s="1"/>
      <c r="B11585" s="1"/>
      <c r="C11585" s="1"/>
      <c r="D11585" s="1"/>
      <c r="E11585" s="62"/>
      <c r="F11585" s="6"/>
      <c r="G11585" s="65"/>
      <c r="H11585" s="65"/>
    </row>
    <row r="11586" spans="1:8" s="61" customFormat="1" hidden="1">
      <c r="A11586" s="1"/>
      <c r="B11586" s="1"/>
      <c r="C11586" s="1"/>
      <c r="D11586" s="1"/>
      <c r="E11586" s="62"/>
      <c r="F11586" s="6"/>
      <c r="G11586" s="65"/>
      <c r="H11586" s="65"/>
    </row>
    <row r="11587" spans="1:8" s="61" customFormat="1" hidden="1">
      <c r="A11587" s="1"/>
      <c r="B11587" s="1"/>
      <c r="C11587" s="1"/>
      <c r="D11587" s="1"/>
      <c r="E11587" s="62"/>
      <c r="F11587" s="6"/>
      <c r="G11587" s="65"/>
      <c r="H11587" s="65"/>
    </row>
    <row r="11588" spans="1:8" s="61" customFormat="1" hidden="1">
      <c r="A11588" s="1"/>
      <c r="B11588" s="1"/>
      <c r="C11588" s="1"/>
      <c r="D11588" s="1"/>
      <c r="E11588" s="62"/>
      <c r="F11588" s="6"/>
      <c r="G11588" s="65"/>
      <c r="H11588" s="65"/>
    </row>
    <row r="11589" spans="1:8" s="61" customFormat="1" hidden="1">
      <c r="A11589" s="1"/>
      <c r="B11589" s="1"/>
      <c r="C11589" s="1"/>
      <c r="D11589" s="1"/>
      <c r="E11589" s="62"/>
      <c r="F11589" s="6"/>
      <c r="G11589" s="65"/>
      <c r="H11589" s="65"/>
    </row>
    <row r="11590" spans="1:8" s="61" customFormat="1" hidden="1">
      <c r="A11590" s="1"/>
      <c r="B11590" s="1"/>
      <c r="C11590" s="1"/>
      <c r="D11590" s="1"/>
      <c r="E11590" s="62"/>
      <c r="F11590" s="6"/>
      <c r="G11590" s="65"/>
      <c r="H11590" s="65"/>
    </row>
    <row r="11591" spans="1:8" s="61" customFormat="1" hidden="1">
      <c r="A11591" s="1"/>
      <c r="B11591" s="1"/>
      <c r="C11591" s="1"/>
      <c r="D11591" s="1"/>
      <c r="E11591" s="62"/>
      <c r="F11591" s="6"/>
      <c r="G11591" s="65"/>
      <c r="H11591" s="65"/>
    </row>
    <row r="11592" spans="1:8" s="61" customFormat="1" hidden="1">
      <c r="A11592" s="1"/>
      <c r="B11592" s="1"/>
      <c r="C11592" s="1"/>
      <c r="D11592" s="1"/>
      <c r="E11592" s="62"/>
      <c r="F11592" s="6"/>
      <c r="G11592" s="65"/>
      <c r="H11592" s="65"/>
    </row>
    <row r="11593" spans="1:8" s="61" customFormat="1" hidden="1">
      <c r="A11593" s="1"/>
      <c r="B11593" s="1"/>
      <c r="C11593" s="1"/>
      <c r="D11593" s="1"/>
      <c r="E11593" s="62"/>
      <c r="F11593" s="6"/>
      <c r="G11593" s="65"/>
      <c r="H11593" s="65"/>
    </row>
    <row r="11594" spans="1:8" s="61" customFormat="1" hidden="1">
      <c r="A11594" s="1"/>
      <c r="B11594" s="1"/>
      <c r="C11594" s="1"/>
      <c r="D11594" s="1"/>
      <c r="E11594" s="62"/>
      <c r="F11594" s="6"/>
      <c r="G11594" s="65"/>
      <c r="H11594" s="65"/>
    </row>
    <row r="11595" spans="1:8" s="61" customFormat="1" hidden="1">
      <c r="A11595" s="1"/>
      <c r="B11595" s="1"/>
      <c r="C11595" s="1"/>
      <c r="D11595" s="1"/>
      <c r="E11595" s="62"/>
      <c r="F11595" s="6"/>
      <c r="G11595" s="65"/>
      <c r="H11595" s="65"/>
    </row>
    <row r="11596" spans="1:8" s="61" customFormat="1" hidden="1">
      <c r="A11596" s="1"/>
      <c r="B11596" s="1"/>
      <c r="C11596" s="1"/>
      <c r="D11596" s="1"/>
      <c r="E11596" s="62"/>
      <c r="F11596" s="6"/>
      <c r="G11596" s="65"/>
      <c r="H11596" s="65"/>
    </row>
    <row r="11597" spans="1:8" s="61" customFormat="1" hidden="1">
      <c r="A11597" s="1"/>
      <c r="B11597" s="1"/>
      <c r="C11597" s="1"/>
      <c r="D11597" s="1"/>
      <c r="E11597" s="62"/>
      <c r="F11597" s="6"/>
      <c r="G11597" s="65"/>
      <c r="H11597" s="65"/>
    </row>
    <row r="11598" spans="1:8" s="61" customFormat="1" hidden="1">
      <c r="A11598" s="1"/>
      <c r="B11598" s="1"/>
      <c r="C11598" s="1"/>
      <c r="D11598" s="1"/>
      <c r="E11598" s="62"/>
      <c r="F11598" s="6"/>
      <c r="G11598" s="65"/>
      <c r="H11598" s="65"/>
    </row>
    <row r="11599" spans="1:8" s="61" customFormat="1" hidden="1">
      <c r="A11599" s="1"/>
      <c r="B11599" s="1"/>
      <c r="C11599" s="1"/>
      <c r="D11599" s="1"/>
      <c r="E11599" s="62"/>
      <c r="F11599" s="6"/>
      <c r="G11599" s="65"/>
      <c r="H11599" s="65"/>
    </row>
    <row r="11600" spans="1:8" s="61" customFormat="1" hidden="1">
      <c r="A11600" s="1"/>
      <c r="B11600" s="1"/>
      <c r="C11600" s="1"/>
      <c r="D11600" s="1"/>
      <c r="E11600" s="62"/>
      <c r="F11600" s="6"/>
      <c r="G11600" s="65"/>
      <c r="H11600" s="65"/>
    </row>
    <row r="11601" spans="1:8" s="61" customFormat="1" hidden="1">
      <c r="A11601" s="1"/>
      <c r="B11601" s="1"/>
      <c r="C11601" s="1"/>
      <c r="D11601" s="1"/>
      <c r="E11601" s="62"/>
      <c r="F11601" s="6"/>
      <c r="G11601" s="65"/>
      <c r="H11601" s="65"/>
    </row>
    <row r="11602" spans="1:8" s="61" customFormat="1" hidden="1">
      <c r="A11602" s="1"/>
      <c r="B11602" s="1"/>
      <c r="C11602" s="1"/>
      <c r="D11602" s="1"/>
      <c r="E11602" s="62"/>
      <c r="F11602" s="6"/>
      <c r="G11602" s="65"/>
      <c r="H11602" s="65"/>
    </row>
    <row r="11603" spans="1:8" s="61" customFormat="1" hidden="1">
      <c r="A11603" s="1"/>
      <c r="B11603" s="1"/>
      <c r="C11603" s="1"/>
      <c r="D11603" s="1"/>
      <c r="E11603" s="62"/>
      <c r="F11603" s="6"/>
      <c r="G11603" s="65"/>
      <c r="H11603" s="65"/>
    </row>
    <row r="11604" spans="1:8" s="61" customFormat="1" hidden="1">
      <c r="A11604" s="1"/>
      <c r="B11604" s="1"/>
      <c r="C11604" s="1"/>
      <c r="D11604" s="1"/>
      <c r="E11604" s="62"/>
      <c r="F11604" s="6"/>
      <c r="G11604" s="65"/>
      <c r="H11604" s="65"/>
    </row>
    <row r="11605" spans="1:8" s="61" customFormat="1" hidden="1">
      <c r="A11605" s="1"/>
      <c r="B11605" s="1"/>
      <c r="C11605" s="1"/>
      <c r="D11605" s="1"/>
      <c r="E11605" s="62"/>
      <c r="F11605" s="6"/>
      <c r="G11605" s="65"/>
      <c r="H11605" s="65"/>
    </row>
    <row r="11606" spans="1:8" s="61" customFormat="1" hidden="1">
      <c r="A11606" s="1"/>
      <c r="B11606" s="1"/>
      <c r="C11606" s="1"/>
      <c r="D11606" s="1"/>
      <c r="E11606" s="62"/>
      <c r="F11606" s="6"/>
      <c r="G11606" s="65"/>
      <c r="H11606" s="65"/>
    </row>
    <row r="11607" spans="1:8" s="61" customFormat="1" hidden="1">
      <c r="A11607" s="1"/>
      <c r="B11607" s="1"/>
      <c r="C11607" s="1"/>
      <c r="D11607" s="1"/>
      <c r="E11607" s="62"/>
      <c r="F11607" s="6"/>
      <c r="G11607" s="65"/>
      <c r="H11607" s="65"/>
    </row>
    <row r="11608" spans="1:8" s="61" customFormat="1" hidden="1">
      <c r="A11608" s="1"/>
      <c r="B11608" s="1"/>
      <c r="C11608" s="1"/>
      <c r="D11608" s="1"/>
      <c r="E11608" s="62"/>
      <c r="F11608" s="6"/>
      <c r="G11608" s="65"/>
      <c r="H11608" s="65"/>
    </row>
    <row r="11609" spans="1:8" s="61" customFormat="1" hidden="1">
      <c r="A11609" s="1"/>
      <c r="B11609" s="1"/>
      <c r="C11609" s="1"/>
      <c r="D11609" s="1"/>
      <c r="E11609" s="62"/>
      <c r="F11609" s="6"/>
      <c r="G11609" s="65"/>
      <c r="H11609" s="65"/>
    </row>
    <row r="11610" spans="1:8" s="61" customFormat="1" hidden="1">
      <c r="A11610" s="1"/>
      <c r="B11610" s="1"/>
      <c r="C11610" s="1"/>
      <c r="D11610" s="1"/>
      <c r="E11610" s="62"/>
      <c r="F11610" s="6"/>
      <c r="G11610" s="65"/>
      <c r="H11610" s="65"/>
    </row>
    <row r="11611" spans="1:8" s="61" customFormat="1" hidden="1">
      <c r="A11611" s="1"/>
      <c r="B11611" s="1"/>
      <c r="C11611" s="1"/>
      <c r="D11611" s="1"/>
      <c r="E11611" s="62"/>
      <c r="F11611" s="6"/>
      <c r="G11611" s="65"/>
      <c r="H11611" s="65"/>
    </row>
    <row r="11612" spans="1:8" s="61" customFormat="1" hidden="1">
      <c r="A11612" s="1"/>
      <c r="B11612" s="1"/>
      <c r="C11612" s="1"/>
      <c r="D11612" s="1"/>
      <c r="E11612" s="62"/>
      <c r="F11612" s="6"/>
      <c r="G11612" s="65"/>
      <c r="H11612" s="65"/>
    </row>
    <row r="11613" spans="1:8" s="61" customFormat="1" hidden="1">
      <c r="A11613" s="1"/>
      <c r="B11613" s="1"/>
      <c r="C11613" s="1"/>
      <c r="D11613" s="1"/>
      <c r="E11613" s="62"/>
      <c r="F11613" s="6"/>
      <c r="G11613" s="65"/>
      <c r="H11613" s="65"/>
    </row>
    <row r="11614" spans="1:8" s="61" customFormat="1" hidden="1">
      <c r="A11614" s="1"/>
      <c r="B11614" s="1"/>
      <c r="C11614" s="1"/>
      <c r="D11614" s="1"/>
      <c r="E11614" s="62"/>
      <c r="F11614" s="6"/>
      <c r="G11614" s="65"/>
      <c r="H11614" s="65"/>
    </row>
    <row r="11615" spans="1:8" s="61" customFormat="1" hidden="1">
      <c r="A11615" s="1"/>
      <c r="B11615" s="1"/>
      <c r="C11615" s="1"/>
      <c r="D11615" s="1"/>
      <c r="E11615" s="62"/>
      <c r="F11615" s="6"/>
      <c r="G11615" s="65"/>
      <c r="H11615" s="65"/>
    </row>
    <row r="11616" spans="1:8" s="61" customFormat="1" hidden="1">
      <c r="A11616" s="1"/>
      <c r="B11616" s="1"/>
      <c r="C11616" s="1"/>
      <c r="D11616" s="1"/>
      <c r="E11616" s="62"/>
      <c r="F11616" s="6"/>
      <c r="G11616" s="65"/>
      <c r="H11616" s="65"/>
    </row>
    <row r="11617" spans="1:8" s="61" customFormat="1" hidden="1">
      <c r="A11617" s="1"/>
      <c r="B11617" s="1"/>
      <c r="C11617" s="1"/>
      <c r="D11617" s="1"/>
      <c r="E11617" s="62"/>
      <c r="F11617" s="6"/>
      <c r="G11617" s="65"/>
      <c r="H11617" s="65"/>
    </row>
    <row r="11618" spans="1:8" s="61" customFormat="1" hidden="1">
      <c r="A11618" s="1"/>
      <c r="B11618" s="1"/>
      <c r="C11618" s="1"/>
      <c r="D11618" s="1"/>
      <c r="E11618" s="62"/>
      <c r="F11618" s="6"/>
      <c r="G11618" s="65"/>
      <c r="H11618" s="65"/>
    </row>
    <row r="11619" spans="1:8" s="61" customFormat="1" hidden="1">
      <c r="A11619" s="1"/>
      <c r="B11619" s="1"/>
      <c r="C11619" s="1"/>
      <c r="D11619" s="1"/>
      <c r="E11619" s="62"/>
      <c r="F11619" s="6"/>
      <c r="G11619" s="65"/>
      <c r="H11619" s="65"/>
    </row>
    <row r="11620" spans="1:8" s="61" customFormat="1" hidden="1">
      <c r="A11620" s="1"/>
      <c r="B11620" s="1"/>
      <c r="C11620" s="1"/>
      <c r="D11620" s="1"/>
      <c r="E11620" s="62"/>
      <c r="F11620" s="6"/>
      <c r="G11620" s="65"/>
      <c r="H11620" s="65"/>
    </row>
    <row r="11621" spans="1:8" s="61" customFormat="1" hidden="1">
      <c r="A11621" s="1"/>
      <c r="B11621" s="1"/>
      <c r="C11621" s="1"/>
      <c r="D11621" s="1"/>
      <c r="E11621" s="62"/>
      <c r="F11621" s="6"/>
      <c r="G11621" s="65"/>
      <c r="H11621" s="65"/>
    </row>
    <row r="11622" spans="1:8" s="61" customFormat="1" hidden="1">
      <c r="A11622" s="1"/>
      <c r="B11622" s="1"/>
      <c r="C11622" s="1"/>
      <c r="D11622" s="1"/>
      <c r="E11622" s="62"/>
      <c r="F11622" s="6"/>
      <c r="G11622" s="65"/>
      <c r="H11622" s="65"/>
    </row>
    <row r="11623" spans="1:8" s="61" customFormat="1" hidden="1">
      <c r="A11623" s="1"/>
      <c r="B11623" s="1"/>
      <c r="C11623" s="1"/>
      <c r="D11623" s="1"/>
      <c r="E11623" s="62"/>
      <c r="F11623" s="6"/>
      <c r="G11623" s="65"/>
      <c r="H11623" s="65"/>
    </row>
    <row r="11624" spans="1:8" s="61" customFormat="1" hidden="1">
      <c r="A11624" s="1"/>
      <c r="B11624" s="1"/>
      <c r="C11624" s="1"/>
      <c r="D11624" s="1"/>
      <c r="E11624" s="62"/>
      <c r="F11624" s="6"/>
      <c r="G11624" s="65"/>
      <c r="H11624" s="65"/>
    </row>
    <row r="11625" spans="1:8" s="61" customFormat="1" hidden="1">
      <c r="A11625" s="1"/>
      <c r="B11625" s="1"/>
      <c r="C11625" s="1"/>
      <c r="D11625" s="1"/>
      <c r="E11625" s="62"/>
      <c r="F11625" s="6"/>
      <c r="G11625" s="65"/>
      <c r="H11625" s="65"/>
    </row>
    <row r="11626" spans="1:8" s="61" customFormat="1" hidden="1">
      <c r="A11626" s="1"/>
      <c r="B11626" s="1"/>
      <c r="C11626" s="1"/>
      <c r="D11626" s="1"/>
      <c r="E11626" s="62"/>
      <c r="F11626" s="6"/>
      <c r="G11626" s="65"/>
      <c r="H11626" s="65"/>
    </row>
    <row r="11627" spans="1:8" s="61" customFormat="1" hidden="1">
      <c r="A11627" s="1"/>
      <c r="B11627" s="1"/>
      <c r="C11627" s="1"/>
      <c r="D11627" s="1"/>
      <c r="E11627" s="62"/>
      <c r="F11627" s="6"/>
      <c r="G11627" s="65"/>
      <c r="H11627" s="65"/>
    </row>
    <row r="11628" spans="1:8" s="61" customFormat="1" hidden="1">
      <c r="A11628" s="1"/>
      <c r="B11628" s="1"/>
      <c r="C11628" s="1"/>
      <c r="D11628" s="1"/>
      <c r="E11628" s="62"/>
      <c r="F11628" s="6"/>
      <c r="G11628" s="65"/>
      <c r="H11628" s="65"/>
    </row>
    <row r="11629" spans="1:8" s="61" customFormat="1" hidden="1">
      <c r="A11629" s="1"/>
      <c r="B11629" s="1"/>
      <c r="C11629" s="1"/>
      <c r="D11629" s="1"/>
      <c r="E11629" s="62"/>
      <c r="F11629" s="6"/>
      <c r="G11629" s="65"/>
      <c r="H11629" s="65"/>
    </row>
    <row r="11630" spans="1:8" s="61" customFormat="1" hidden="1">
      <c r="A11630" s="1"/>
      <c r="B11630" s="1"/>
      <c r="C11630" s="1"/>
      <c r="D11630" s="1"/>
      <c r="E11630" s="62"/>
      <c r="F11630" s="6"/>
      <c r="G11630" s="65"/>
      <c r="H11630" s="65"/>
    </row>
    <row r="11631" spans="1:8" s="61" customFormat="1" hidden="1">
      <c r="A11631" s="1"/>
      <c r="B11631" s="1"/>
      <c r="C11631" s="1"/>
      <c r="D11631" s="1"/>
      <c r="E11631" s="62"/>
      <c r="F11631" s="6"/>
      <c r="G11631" s="65"/>
      <c r="H11631" s="65"/>
    </row>
    <row r="11632" spans="1:8" s="61" customFormat="1" hidden="1">
      <c r="A11632" s="1"/>
      <c r="B11632" s="1"/>
      <c r="C11632" s="1"/>
      <c r="D11632" s="1"/>
      <c r="E11632" s="62"/>
      <c r="F11632" s="6"/>
      <c r="G11632" s="65"/>
      <c r="H11632" s="65"/>
    </row>
    <row r="11633" spans="1:8" s="61" customFormat="1" hidden="1">
      <c r="A11633" s="1"/>
      <c r="B11633" s="1"/>
      <c r="C11633" s="1"/>
      <c r="D11633" s="1"/>
      <c r="E11633" s="62"/>
      <c r="F11633" s="6"/>
      <c r="G11633" s="65"/>
      <c r="H11633" s="65"/>
    </row>
    <row r="11634" spans="1:8" s="61" customFormat="1" hidden="1">
      <c r="A11634" s="1"/>
      <c r="B11634" s="1"/>
      <c r="C11634" s="1"/>
      <c r="D11634" s="1"/>
      <c r="E11634" s="62"/>
      <c r="F11634" s="6"/>
      <c r="G11634" s="65"/>
      <c r="H11634" s="65"/>
    </row>
    <row r="11635" spans="1:8" s="61" customFormat="1" hidden="1">
      <c r="A11635" s="1"/>
      <c r="B11635" s="1"/>
      <c r="C11635" s="1"/>
      <c r="D11635" s="1"/>
      <c r="E11635" s="62"/>
      <c r="F11635" s="6"/>
      <c r="G11635" s="65"/>
      <c r="H11635" s="65"/>
    </row>
    <row r="11636" spans="1:8" s="61" customFormat="1" hidden="1">
      <c r="A11636" s="1"/>
      <c r="B11636" s="1"/>
      <c r="C11636" s="1"/>
      <c r="D11636" s="1"/>
      <c r="E11636" s="62"/>
      <c r="F11636" s="6"/>
      <c r="G11636" s="65"/>
      <c r="H11636" s="65"/>
    </row>
    <row r="11637" spans="1:8" s="61" customFormat="1" hidden="1">
      <c r="A11637" s="1"/>
      <c r="B11637" s="1"/>
      <c r="C11637" s="1"/>
      <c r="D11637" s="1"/>
      <c r="E11637" s="62"/>
      <c r="F11637" s="6"/>
      <c r="G11637" s="65"/>
      <c r="H11637" s="65"/>
    </row>
    <row r="11638" spans="1:8" s="61" customFormat="1" hidden="1">
      <c r="A11638" s="1"/>
      <c r="B11638" s="1"/>
      <c r="C11638" s="1"/>
      <c r="D11638" s="1"/>
      <c r="E11638" s="62"/>
      <c r="F11638" s="6"/>
      <c r="G11638" s="65"/>
      <c r="H11638" s="65"/>
    </row>
    <row r="11639" spans="1:8" s="61" customFormat="1" hidden="1">
      <c r="A11639" s="1"/>
      <c r="B11639" s="1"/>
      <c r="C11639" s="1"/>
      <c r="D11639" s="1"/>
      <c r="E11639" s="62"/>
      <c r="F11639" s="6"/>
      <c r="G11639" s="65"/>
      <c r="H11639" s="65"/>
    </row>
    <row r="11640" spans="1:8" s="61" customFormat="1" hidden="1">
      <c r="A11640" s="1"/>
      <c r="B11640" s="1"/>
      <c r="C11640" s="1"/>
      <c r="D11640" s="1"/>
      <c r="E11640" s="62"/>
      <c r="F11640" s="6"/>
      <c r="G11640" s="65"/>
      <c r="H11640" s="65"/>
    </row>
    <row r="11641" spans="1:8" s="61" customFormat="1" hidden="1">
      <c r="A11641" s="1"/>
      <c r="B11641" s="1"/>
      <c r="C11641" s="1"/>
      <c r="D11641" s="1"/>
      <c r="E11641" s="62"/>
      <c r="F11641" s="6"/>
      <c r="G11641" s="65"/>
      <c r="H11641" s="65"/>
    </row>
    <row r="11642" spans="1:8" s="61" customFormat="1" hidden="1">
      <c r="A11642" s="1"/>
      <c r="B11642" s="1"/>
      <c r="C11642" s="1"/>
      <c r="D11642" s="1"/>
      <c r="E11642" s="62"/>
      <c r="F11642" s="6"/>
      <c r="G11642" s="65"/>
      <c r="H11642" s="65"/>
    </row>
    <row r="11643" spans="1:8" s="61" customFormat="1" hidden="1">
      <c r="A11643" s="1"/>
      <c r="B11643" s="1"/>
      <c r="C11643" s="1"/>
      <c r="D11643" s="1"/>
      <c r="E11643" s="62"/>
      <c r="F11643" s="6"/>
      <c r="G11643" s="65"/>
      <c r="H11643" s="65"/>
    </row>
    <row r="11644" spans="1:8" s="61" customFormat="1" hidden="1">
      <c r="A11644" s="1"/>
      <c r="B11644" s="1"/>
      <c r="C11644" s="1"/>
      <c r="D11644" s="1"/>
      <c r="E11644" s="62"/>
      <c r="F11644" s="6"/>
      <c r="G11644" s="65"/>
      <c r="H11644" s="65"/>
    </row>
    <row r="11645" spans="1:8" s="61" customFormat="1" hidden="1">
      <c r="A11645" s="1"/>
      <c r="B11645" s="1"/>
      <c r="C11645" s="1"/>
      <c r="D11645" s="1"/>
      <c r="E11645" s="62"/>
      <c r="F11645" s="6"/>
      <c r="G11645" s="65"/>
      <c r="H11645" s="65"/>
    </row>
    <row r="11646" spans="1:8" s="61" customFormat="1" hidden="1">
      <c r="A11646" s="1"/>
      <c r="B11646" s="1"/>
      <c r="C11646" s="1"/>
      <c r="D11646" s="1"/>
      <c r="E11646" s="62"/>
      <c r="F11646" s="6"/>
      <c r="G11646" s="65"/>
      <c r="H11646" s="65"/>
    </row>
    <row r="11647" spans="1:8" s="61" customFormat="1" hidden="1">
      <c r="A11647" s="1"/>
      <c r="B11647" s="1"/>
      <c r="C11647" s="1"/>
      <c r="D11647" s="1"/>
      <c r="E11647" s="62"/>
      <c r="F11647" s="6"/>
      <c r="G11647" s="65"/>
      <c r="H11647" s="65"/>
    </row>
    <row r="11648" spans="1:8" s="61" customFormat="1" hidden="1">
      <c r="A11648" s="1"/>
      <c r="B11648" s="1"/>
      <c r="C11648" s="1"/>
      <c r="D11648" s="1"/>
      <c r="E11648" s="62"/>
      <c r="F11648" s="6"/>
      <c r="G11648" s="65"/>
      <c r="H11648" s="65"/>
    </row>
    <row r="11649" spans="1:8" s="61" customFormat="1" hidden="1">
      <c r="A11649" s="1"/>
      <c r="B11649" s="1"/>
      <c r="C11649" s="1"/>
      <c r="D11649" s="1"/>
      <c r="E11649" s="62"/>
      <c r="F11649" s="6"/>
      <c r="G11649" s="65"/>
      <c r="H11649" s="65"/>
    </row>
    <row r="11650" spans="1:8" s="61" customFormat="1" hidden="1">
      <c r="A11650" s="1"/>
      <c r="B11650" s="1"/>
      <c r="C11650" s="1"/>
      <c r="D11650" s="1"/>
      <c r="E11650" s="62"/>
      <c r="F11650" s="6"/>
      <c r="G11650" s="65"/>
      <c r="H11650" s="65"/>
    </row>
    <row r="11651" spans="1:8" s="61" customFormat="1" hidden="1">
      <c r="A11651" s="1"/>
      <c r="B11651" s="1"/>
      <c r="C11651" s="1"/>
      <c r="D11651" s="1"/>
      <c r="E11651" s="62"/>
      <c r="F11651" s="6"/>
      <c r="G11651" s="65"/>
      <c r="H11651" s="65"/>
    </row>
    <row r="11652" spans="1:8" s="61" customFormat="1" hidden="1">
      <c r="A11652" s="1"/>
      <c r="B11652" s="1"/>
      <c r="C11652" s="1"/>
      <c r="D11652" s="1"/>
      <c r="E11652" s="62"/>
      <c r="F11652" s="6"/>
      <c r="G11652" s="65"/>
      <c r="H11652" s="65"/>
    </row>
    <row r="11653" spans="1:8" s="61" customFormat="1" hidden="1">
      <c r="A11653" s="1"/>
      <c r="B11653" s="1"/>
      <c r="C11653" s="1"/>
      <c r="D11653" s="1"/>
      <c r="E11653" s="62"/>
      <c r="F11653" s="6"/>
      <c r="G11653" s="65"/>
      <c r="H11653" s="65"/>
    </row>
    <row r="11654" spans="1:8" s="61" customFormat="1" hidden="1">
      <c r="A11654" s="1"/>
      <c r="B11654" s="1"/>
      <c r="C11654" s="1"/>
      <c r="D11654" s="1"/>
      <c r="E11654" s="62"/>
      <c r="F11654" s="6"/>
      <c r="G11654" s="65"/>
      <c r="H11654" s="65"/>
    </row>
    <row r="11655" spans="1:8" s="61" customFormat="1" hidden="1">
      <c r="A11655" s="1"/>
      <c r="B11655" s="1"/>
      <c r="C11655" s="1"/>
      <c r="D11655" s="1"/>
      <c r="E11655" s="62"/>
      <c r="F11655" s="6"/>
      <c r="G11655" s="65"/>
      <c r="H11655" s="65"/>
    </row>
    <row r="11656" spans="1:8" s="61" customFormat="1" hidden="1">
      <c r="A11656" s="1"/>
      <c r="B11656" s="1"/>
      <c r="C11656" s="1"/>
      <c r="D11656" s="1"/>
      <c r="E11656" s="62"/>
      <c r="F11656" s="6"/>
      <c r="G11656" s="65"/>
      <c r="H11656" s="65"/>
    </row>
    <row r="11657" spans="1:8" s="61" customFormat="1" hidden="1">
      <c r="A11657" s="1"/>
      <c r="B11657" s="1"/>
      <c r="C11657" s="1"/>
      <c r="D11657" s="1"/>
      <c r="E11657" s="62"/>
      <c r="F11657" s="6"/>
      <c r="G11657" s="65"/>
      <c r="H11657" s="65"/>
    </row>
    <row r="11658" spans="1:8" s="61" customFormat="1" hidden="1">
      <c r="A11658" s="1"/>
      <c r="B11658" s="1"/>
      <c r="C11658" s="1"/>
      <c r="D11658" s="1"/>
      <c r="E11658" s="62"/>
      <c r="F11658" s="6"/>
      <c r="G11658" s="65"/>
      <c r="H11658" s="65"/>
    </row>
    <row r="11659" spans="1:8" s="61" customFormat="1" hidden="1">
      <c r="A11659" s="1"/>
      <c r="B11659" s="1"/>
      <c r="C11659" s="1"/>
      <c r="D11659" s="1"/>
      <c r="E11659" s="62"/>
      <c r="F11659" s="6"/>
      <c r="G11659" s="65"/>
      <c r="H11659" s="65"/>
    </row>
    <row r="11660" spans="1:8" s="61" customFormat="1" hidden="1">
      <c r="A11660" s="1"/>
      <c r="B11660" s="1"/>
      <c r="C11660" s="1"/>
      <c r="D11660" s="1"/>
      <c r="E11660" s="62"/>
      <c r="F11660" s="6"/>
      <c r="G11660" s="65"/>
      <c r="H11660" s="65"/>
    </row>
    <row r="11661" spans="1:8" s="61" customFormat="1" hidden="1">
      <c r="A11661" s="1"/>
      <c r="B11661" s="1"/>
      <c r="C11661" s="1"/>
      <c r="D11661" s="1"/>
      <c r="E11661" s="62"/>
      <c r="F11661" s="6"/>
      <c r="G11661" s="65"/>
      <c r="H11661" s="65"/>
    </row>
    <row r="11662" spans="1:8" s="61" customFormat="1" hidden="1">
      <c r="A11662" s="1"/>
      <c r="B11662" s="1"/>
      <c r="C11662" s="1"/>
      <c r="D11662" s="1"/>
      <c r="E11662" s="62"/>
      <c r="F11662" s="6"/>
      <c r="G11662" s="65"/>
      <c r="H11662" s="65"/>
    </row>
    <row r="11663" spans="1:8" s="61" customFormat="1" hidden="1">
      <c r="A11663" s="1"/>
      <c r="B11663" s="1"/>
      <c r="C11663" s="1"/>
      <c r="D11663" s="1"/>
      <c r="E11663" s="62"/>
      <c r="F11663" s="6"/>
      <c r="G11663" s="65"/>
      <c r="H11663" s="65"/>
    </row>
    <row r="11664" spans="1:8" s="61" customFormat="1" hidden="1">
      <c r="A11664" s="1"/>
      <c r="B11664" s="1"/>
      <c r="C11664" s="1"/>
      <c r="D11664" s="1"/>
      <c r="E11664" s="62"/>
      <c r="F11664" s="6"/>
      <c r="G11664" s="65"/>
      <c r="H11664" s="65"/>
    </row>
    <row r="11665" spans="1:8" s="61" customFormat="1" hidden="1">
      <c r="A11665" s="1"/>
      <c r="B11665" s="1"/>
      <c r="C11665" s="1"/>
      <c r="D11665" s="1"/>
      <c r="E11665" s="62"/>
      <c r="F11665" s="6"/>
      <c r="G11665" s="65"/>
      <c r="H11665" s="65"/>
    </row>
    <row r="11666" spans="1:8" s="61" customFormat="1" hidden="1">
      <c r="A11666" s="1"/>
      <c r="B11666" s="1"/>
      <c r="C11666" s="1"/>
      <c r="D11666" s="1"/>
      <c r="E11666" s="62"/>
      <c r="F11666" s="6"/>
      <c r="G11666" s="65"/>
      <c r="H11666" s="65"/>
    </row>
    <row r="11667" spans="1:8" s="61" customFormat="1" hidden="1">
      <c r="A11667" s="1"/>
      <c r="B11667" s="1"/>
      <c r="C11667" s="1"/>
      <c r="D11667" s="1"/>
      <c r="E11667" s="62"/>
      <c r="F11667" s="6"/>
      <c r="G11667" s="65"/>
      <c r="H11667" s="65"/>
    </row>
    <row r="11668" spans="1:8" s="61" customFormat="1" hidden="1">
      <c r="A11668" s="1"/>
      <c r="B11668" s="1"/>
      <c r="C11668" s="1"/>
      <c r="D11668" s="1"/>
      <c r="E11668" s="62"/>
      <c r="F11668" s="6"/>
      <c r="G11668" s="65"/>
      <c r="H11668" s="65"/>
    </row>
    <row r="11669" spans="1:8" s="61" customFormat="1" hidden="1">
      <c r="A11669" s="1"/>
      <c r="B11669" s="1"/>
      <c r="C11669" s="1"/>
      <c r="D11669" s="1"/>
      <c r="E11669" s="62"/>
      <c r="F11669" s="6"/>
      <c r="G11669" s="65"/>
      <c r="H11669" s="65"/>
    </row>
    <row r="11670" spans="1:8" s="61" customFormat="1" hidden="1">
      <c r="A11670" s="1"/>
      <c r="B11670" s="1"/>
      <c r="C11670" s="1"/>
      <c r="D11670" s="1"/>
      <c r="E11670" s="62"/>
      <c r="F11670" s="6"/>
      <c r="G11670" s="65"/>
      <c r="H11670" s="65"/>
    </row>
    <row r="11671" spans="1:8" s="61" customFormat="1" hidden="1">
      <c r="A11671" s="1"/>
      <c r="B11671" s="1"/>
      <c r="C11671" s="1"/>
      <c r="D11671" s="1"/>
      <c r="E11671" s="62"/>
      <c r="F11671" s="6"/>
      <c r="G11671" s="65"/>
      <c r="H11671" s="65"/>
    </row>
    <row r="11672" spans="1:8" s="61" customFormat="1" hidden="1">
      <c r="A11672" s="1"/>
      <c r="B11672" s="1"/>
      <c r="C11672" s="1"/>
      <c r="D11672" s="1"/>
      <c r="E11672" s="62"/>
      <c r="F11672" s="6"/>
      <c r="G11672" s="65"/>
      <c r="H11672" s="65"/>
    </row>
    <row r="11673" spans="1:8" s="61" customFormat="1" hidden="1">
      <c r="A11673" s="1"/>
      <c r="B11673" s="1"/>
      <c r="C11673" s="1"/>
      <c r="D11673" s="1"/>
      <c r="E11673" s="62"/>
      <c r="F11673" s="6"/>
      <c r="G11673" s="65"/>
      <c r="H11673" s="65"/>
    </row>
    <row r="11674" spans="1:8" s="61" customFormat="1" hidden="1">
      <c r="A11674" s="1"/>
      <c r="B11674" s="1"/>
      <c r="C11674" s="1"/>
      <c r="D11674" s="1"/>
      <c r="E11674" s="62"/>
      <c r="F11674" s="6"/>
      <c r="G11674" s="65"/>
      <c r="H11674" s="65"/>
    </row>
    <row r="11675" spans="1:8" s="61" customFormat="1" hidden="1">
      <c r="A11675" s="1"/>
      <c r="B11675" s="1"/>
      <c r="C11675" s="1"/>
      <c r="D11675" s="1"/>
      <c r="E11675" s="62"/>
      <c r="F11675" s="6"/>
      <c r="G11675" s="65"/>
      <c r="H11675" s="65"/>
    </row>
    <row r="11676" spans="1:8" s="61" customFormat="1" hidden="1">
      <c r="A11676" s="1"/>
      <c r="B11676" s="1"/>
      <c r="C11676" s="1"/>
      <c r="D11676" s="1"/>
      <c r="E11676" s="62"/>
      <c r="F11676" s="6"/>
      <c r="G11676" s="65"/>
      <c r="H11676" s="65"/>
    </row>
    <row r="11677" spans="1:8" s="61" customFormat="1" hidden="1">
      <c r="A11677" s="1"/>
      <c r="B11677" s="1"/>
      <c r="C11677" s="1"/>
      <c r="D11677" s="1"/>
      <c r="E11677" s="62"/>
      <c r="F11677" s="6"/>
      <c r="G11677" s="65"/>
      <c r="H11677" s="65"/>
    </row>
    <row r="11678" spans="1:8" s="61" customFormat="1" hidden="1">
      <c r="A11678" s="1"/>
      <c r="B11678" s="1"/>
      <c r="C11678" s="1"/>
      <c r="D11678" s="1"/>
      <c r="E11678" s="62"/>
      <c r="F11678" s="6"/>
      <c r="G11678" s="65"/>
      <c r="H11678" s="65"/>
    </row>
    <row r="11679" spans="1:8" s="61" customFormat="1" hidden="1">
      <c r="A11679" s="1"/>
      <c r="B11679" s="1"/>
      <c r="C11679" s="1"/>
      <c r="D11679" s="1"/>
      <c r="E11679" s="62"/>
      <c r="F11679" s="6"/>
      <c r="G11679" s="65"/>
      <c r="H11679" s="65"/>
    </row>
    <row r="11680" spans="1:8" s="61" customFormat="1" hidden="1">
      <c r="A11680" s="1"/>
      <c r="B11680" s="1"/>
      <c r="C11680" s="1"/>
      <c r="D11680" s="1"/>
      <c r="E11680" s="62"/>
      <c r="F11680" s="6"/>
      <c r="G11680" s="65"/>
      <c r="H11680" s="65"/>
    </row>
    <row r="11681" spans="1:8" s="61" customFormat="1" hidden="1">
      <c r="A11681" s="1"/>
      <c r="B11681" s="1"/>
      <c r="C11681" s="1"/>
      <c r="D11681" s="1"/>
      <c r="E11681" s="62"/>
      <c r="F11681" s="6"/>
      <c r="G11681" s="65"/>
      <c r="H11681" s="65"/>
    </row>
    <row r="11682" spans="1:8" s="61" customFormat="1" hidden="1">
      <c r="A11682" s="1"/>
      <c r="B11682" s="1"/>
      <c r="C11682" s="1"/>
      <c r="D11682" s="1"/>
      <c r="E11682" s="62"/>
      <c r="F11682" s="6"/>
      <c r="G11682" s="65"/>
      <c r="H11682" s="65"/>
    </row>
    <row r="11683" spans="1:8" s="61" customFormat="1" hidden="1">
      <c r="A11683" s="1"/>
      <c r="B11683" s="1"/>
      <c r="C11683" s="1"/>
      <c r="D11683" s="1"/>
      <c r="E11683" s="62"/>
      <c r="F11683" s="6"/>
      <c r="G11683" s="65"/>
      <c r="H11683" s="65"/>
    </row>
    <row r="11684" spans="1:8" s="61" customFormat="1" hidden="1">
      <c r="A11684" s="1"/>
      <c r="B11684" s="1"/>
      <c r="C11684" s="1"/>
      <c r="D11684" s="1"/>
      <c r="E11684" s="62"/>
      <c r="F11684" s="6"/>
      <c r="G11684" s="65"/>
      <c r="H11684" s="65"/>
    </row>
    <row r="11685" spans="1:8" s="61" customFormat="1" hidden="1">
      <c r="A11685" s="1"/>
      <c r="B11685" s="1"/>
      <c r="C11685" s="1"/>
      <c r="D11685" s="1"/>
      <c r="E11685" s="62"/>
      <c r="F11685" s="6"/>
      <c r="G11685" s="65"/>
      <c r="H11685" s="65"/>
    </row>
    <row r="11686" spans="1:8" s="61" customFormat="1" hidden="1">
      <c r="A11686" s="1"/>
      <c r="B11686" s="1"/>
      <c r="C11686" s="1"/>
      <c r="D11686" s="1"/>
      <c r="E11686" s="62"/>
      <c r="F11686" s="6"/>
      <c r="G11686" s="65"/>
      <c r="H11686" s="65"/>
    </row>
    <row r="11687" spans="1:8" s="61" customFormat="1" hidden="1">
      <c r="A11687" s="1"/>
      <c r="B11687" s="1"/>
      <c r="C11687" s="1"/>
      <c r="D11687" s="1"/>
      <c r="E11687" s="62"/>
      <c r="F11687" s="6"/>
      <c r="G11687" s="65"/>
      <c r="H11687" s="65"/>
    </row>
    <row r="11688" spans="1:8" s="61" customFormat="1" hidden="1">
      <c r="A11688" s="1"/>
      <c r="B11688" s="1"/>
      <c r="C11688" s="1"/>
      <c r="D11688" s="1"/>
      <c r="E11688" s="62"/>
      <c r="F11688" s="6"/>
      <c r="G11688" s="65"/>
      <c r="H11688" s="65"/>
    </row>
    <row r="11689" spans="1:8" s="61" customFormat="1" hidden="1">
      <c r="A11689" s="1"/>
      <c r="B11689" s="1"/>
      <c r="C11689" s="1"/>
      <c r="D11689" s="1"/>
      <c r="E11689" s="62"/>
      <c r="F11689" s="6"/>
      <c r="G11689" s="65"/>
      <c r="H11689" s="65"/>
    </row>
    <row r="11690" spans="1:8" s="61" customFormat="1" hidden="1">
      <c r="A11690" s="1"/>
      <c r="B11690" s="1"/>
      <c r="C11690" s="1"/>
      <c r="D11690" s="1"/>
      <c r="E11690" s="62"/>
      <c r="F11690" s="6"/>
      <c r="G11690" s="65"/>
      <c r="H11690" s="65"/>
    </row>
    <row r="11691" spans="1:8" s="61" customFormat="1" hidden="1">
      <c r="A11691" s="1"/>
      <c r="B11691" s="1"/>
      <c r="C11691" s="1"/>
      <c r="D11691" s="1"/>
      <c r="E11691" s="62"/>
      <c r="F11691" s="6"/>
      <c r="G11691" s="65"/>
      <c r="H11691" s="65"/>
    </row>
    <row r="11692" spans="1:8" s="61" customFormat="1" hidden="1">
      <c r="A11692" s="1"/>
      <c r="B11692" s="1"/>
      <c r="C11692" s="1"/>
      <c r="D11692" s="1"/>
      <c r="E11692" s="62"/>
      <c r="F11692" s="6"/>
      <c r="G11692" s="65"/>
      <c r="H11692" s="65"/>
    </row>
    <row r="11693" spans="1:8" s="61" customFormat="1" hidden="1">
      <c r="A11693" s="1"/>
      <c r="B11693" s="1"/>
      <c r="C11693" s="1"/>
      <c r="D11693" s="1"/>
      <c r="E11693" s="62"/>
      <c r="F11693" s="6"/>
      <c r="G11693" s="65"/>
      <c r="H11693" s="65"/>
    </row>
    <row r="11694" spans="1:8" s="61" customFormat="1" hidden="1">
      <c r="A11694" s="1"/>
      <c r="B11694" s="1"/>
      <c r="C11694" s="1"/>
      <c r="D11694" s="1"/>
      <c r="E11694" s="62"/>
      <c r="F11694" s="6"/>
      <c r="G11694" s="65"/>
      <c r="H11694" s="65"/>
    </row>
    <row r="11695" spans="1:8" s="61" customFormat="1" hidden="1">
      <c r="A11695" s="1"/>
      <c r="B11695" s="1"/>
      <c r="C11695" s="1"/>
      <c r="D11695" s="1"/>
      <c r="E11695" s="62"/>
      <c r="F11695" s="6"/>
      <c r="G11695" s="65"/>
      <c r="H11695" s="65"/>
    </row>
    <row r="11696" spans="1:8" s="61" customFormat="1" hidden="1">
      <c r="A11696" s="1"/>
      <c r="B11696" s="1"/>
      <c r="C11696" s="1"/>
      <c r="D11696" s="1"/>
      <c r="E11696" s="62"/>
      <c r="F11696" s="6"/>
      <c r="G11696" s="65"/>
      <c r="H11696" s="65"/>
    </row>
    <row r="11697" spans="1:8" s="61" customFormat="1" hidden="1">
      <c r="A11697" s="1"/>
      <c r="B11697" s="1"/>
      <c r="C11697" s="1"/>
      <c r="D11697" s="1"/>
      <c r="E11697" s="62"/>
      <c r="F11697" s="6"/>
      <c r="G11697" s="65"/>
      <c r="H11697" s="65"/>
    </row>
    <row r="11698" spans="1:8" s="61" customFormat="1" hidden="1">
      <c r="A11698" s="1"/>
      <c r="B11698" s="1"/>
      <c r="C11698" s="1"/>
      <c r="D11698" s="1"/>
      <c r="E11698" s="62"/>
      <c r="F11698" s="6"/>
      <c r="G11698" s="65"/>
      <c r="H11698" s="65"/>
    </row>
    <row r="11699" spans="1:8" s="61" customFormat="1" hidden="1">
      <c r="A11699" s="1"/>
      <c r="B11699" s="1"/>
      <c r="C11699" s="1"/>
      <c r="D11699" s="1"/>
      <c r="E11699" s="62"/>
      <c r="F11699" s="6"/>
      <c r="G11699" s="65"/>
      <c r="H11699" s="65"/>
    </row>
    <row r="11700" spans="1:8" s="61" customFormat="1" hidden="1">
      <c r="A11700" s="1"/>
      <c r="B11700" s="1"/>
      <c r="C11700" s="1"/>
      <c r="D11700" s="1"/>
      <c r="E11700" s="62"/>
      <c r="F11700" s="6"/>
      <c r="G11700" s="65"/>
      <c r="H11700" s="65"/>
    </row>
    <row r="11701" spans="1:8" s="61" customFormat="1" hidden="1">
      <c r="A11701" s="1"/>
      <c r="B11701" s="1"/>
      <c r="C11701" s="1"/>
      <c r="D11701" s="1"/>
      <c r="E11701" s="62"/>
      <c r="F11701" s="6"/>
      <c r="G11701" s="65"/>
      <c r="H11701" s="65"/>
    </row>
    <row r="11702" spans="1:8" s="61" customFormat="1" hidden="1">
      <c r="A11702" s="1"/>
      <c r="B11702" s="1"/>
      <c r="C11702" s="1"/>
      <c r="D11702" s="1"/>
      <c r="E11702" s="62"/>
      <c r="F11702" s="6"/>
      <c r="G11702" s="65"/>
      <c r="H11702" s="65"/>
    </row>
    <row r="11703" spans="1:8" s="5" customFormat="1">
      <c r="A11703" s="1"/>
      <c r="B11703" s="1"/>
      <c r="C11703" s="1"/>
      <c r="D11703" s="1"/>
      <c r="E11703" s="62"/>
      <c r="F11703" s="6"/>
      <c r="G11703" s="65"/>
      <c r="H11703" s="65"/>
    </row>
    <row r="11704" spans="1:8" s="5" customFormat="1">
      <c r="A11704" s="1"/>
      <c r="B11704" s="1"/>
      <c r="C11704" s="1"/>
      <c r="D11704" s="1"/>
      <c r="E11704" s="62"/>
      <c r="F11704" s="6"/>
      <c r="G11704" s="65"/>
      <c r="H11704" s="65"/>
    </row>
    <row r="11705" spans="1:8" s="5" customFormat="1">
      <c r="A11705" s="1"/>
      <c r="B11705" s="1"/>
      <c r="C11705" s="1"/>
      <c r="D11705" s="1"/>
      <c r="E11705" s="62"/>
      <c r="F11705" s="6"/>
      <c r="G11705" s="65"/>
      <c r="H11705" s="65"/>
    </row>
    <row r="11706" spans="1:8" s="5" customFormat="1">
      <c r="A11706" s="1"/>
      <c r="B11706" s="1"/>
      <c r="C11706" s="1"/>
      <c r="D11706" s="1"/>
      <c r="E11706" s="62"/>
      <c r="F11706" s="6"/>
      <c r="G11706" s="65"/>
      <c r="H11706" s="65"/>
    </row>
    <row r="11707" spans="1:8" s="5" customFormat="1">
      <c r="A11707" s="1"/>
      <c r="B11707" s="1"/>
      <c r="C11707" s="1"/>
      <c r="D11707" s="1"/>
      <c r="E11707" s="62"/>
      <c r="F11707" s="6"/>
      <c r="G11707" s="65"/>
      <c r="H11707" s="65"/>
    </row>
    <row r="11708" spans="1:8" s="5" customFormat="1">
      <c r="A11708" s="1"/>
      <c r="B11708" s="1"/>
      <c r="C11708" s="1"/>
      <c r="D11708" s="1"/>
      <c r="E11708" s="62"/>
      <c r="F11708" s="6"/>
      <c r="G11708" s="65"/>
      <c r="H11708" s="65"/>
    </row>
    <row r="11709" spans="1:8" s="5" customFormat="1">
      <c r="A11709" s="1"/>
      <c r="B11709" s="1"/>
      <c r="C11709" s="1"/>
      <c r="D11709" s="1"/>
      <c r="E11709" s="62"/>
      <c r="F11709" s="6"/>
      <c r="G11709" s="65"/>
      <c r="H11709" s="65"/>
    </row>
    <row r="11710" spans="1:8" s="5" customFormat="1">
      <c r="A11710" s="1"/>
      <c r="B11710" s="1"/>
      <c r="C11710" s="1"/>
      <c r="D11710" s="1"/>
      <c r="E11710" s="62"/>
      <c r="F11710" s="6"/>
      <c r="G11710" s="65"/>
      <c r="H11710" s="65"/>
    </row>
    <row r="11711" spans="1:8" s="5" customFormat="1">
      <c r="A11711" s="1"/>
      <c r="B11711" s="1"/>
      <c r="C11711" s="1"/>
      <c r="D11711" s="1"/>
      <c r="E11711" s="62"/>
      <c r="F11711" s="6"/>
      <c r="G11711" s="65"/>
      <c r="H11711" s="65"/>
    </row>
    <row r="11712" spans="1:8" s="5" customFormat="1">
      <c r="A11712" s="1"/>
      <c r="B11712" s="1"/>
      <c r="C11712" s="1"/>
      <c r="D11712" s="1"/>
      <c r="E11712" s="62"/>
      <c r="F11712" s="6"/>
      <c r="G11712" s="65"/>
      <c r="H11712" s="65"/>
    </row>
    <row r="11713" spans="1:8" s="5" customFormat="1">
      <c r="A11713" s="1"/>
      <c r="B11713" s="1"/>
      <c r="C11713" s="1"/>
      <c r="D11713" s="1"/>
      <c r="E11713" s="62"/>
      <c r="F11713" s="6"/>
      <c r="G11713" s="65"/>
      <c r="H11713" s="65"/>
    </row>
    <row r="11714" spans="1:8" s="5" customFormat="1">
      <c r="A11714" s="1"/>
      <c r="B11714" s="1"/>
      <c r="C11714" s="1"/>
      <c r="D11714" s="1"/>
      <c r="E11714" s="62"/>
      <c r="F11714" s="6"/>
      <c r="G11714" s="65"/>
      <c r="H11714" s="65"/>
    </row>
    <row r="11715" spans="1:8" s="5" customFormat="1">
      <c r="A11715" s="1"/>
      <c r="B11715" s="1"/>
      <c r="C11715" s="1"/>
      <c r="D11715" s="1"/>
      <c r="E11715" s="62"/>
      <c r="F11715" s="6"/>
      <c r="G11715" s="65"/>
      <c r="H11715" s="65"/>
    </row>
    <row r="11716" spans="1:8" s="5" customFormat="1">
      <c r="A11716" s="1"/>
      <c r="B11716" s="1"/>
      <c r="C11716" s="1"/>
      <c r="D11716" s="1"/>
      <c r="E11716" s="62"/>
      <c r="F11716" s="6"/>
      <c r="G11716" s="65"/>
      <c r="H11716" s="65"/>
    </row>
    <row r="11717" spans="1:8" s="5" customFormat="1">
      <c r="A11717" s="1"/>
      <c r="B11717" s="1"/>
      <c r="C11717" s="1"/>
      <c r="D11717" s="1"/>
      <c r="E11717" s="62"/>
      <c r="F11717" s="6"/>
      <c r="G11717" s="65"/>
      <c r="H11717" s="65"/>
    </row>
    <row r="11718" spans="1:8" s="5" customFormat="1">
      <c r="A11718" s="1"/>
      <c r="B11718" s="1"/>
      <c r="C11718" s="1"/>
      <c r="D11718" s="1"/>
      <c r="E11718" s="62"/>
      <c r="F11718" s="6"/>
      <c r="G11718" s="65"/>
      <c r="H11718" s="65"/>
    </row>
    <row r="11719" spans="1:8" s="5" customFormat="1">
      <c r="A11719" s="1"/>
      <c r="B11719" s="1"/>
      <c r="C11719" s="1"/>
      <c r="D11719" s="1"/>
      <c r="E11719" s="62"/>
      <c r="F11719" s="6"/>
      <c r="G11719" s="65"/>
      <c r="H11719" s="65"/>
    </row>
    <row r="11720" spans="1:8" s="5" customFormat="1">
      <c r="A11720" s="1"/>
      <c r="B11720" s="1"/>
      <c r="C11720" s="1"/>
      <c r="D11720" s="1"/>
      <c r="E11720" s="62"/>
      <c r="F11720" s="6"/>
      <c r="G11720" s="65"/>
      <c r="H11720" s="65"/>
    </row>
    <row r="11721" spans="1:8" s="5" customFormat="1">
      <c r="A11721" s="1"/>
      <c r="B11721" s="1"/>
      <c r="C11721" s="1"/>
      <c r="D11721" s="1"/>
      <c r="E11721" s="62"/>
      <c r="F11721" s="6"/>
      <c r="G11721" s="65"/>
      <c r="H11721" s="65"/>
    </row>
    <row r="11722" spans="1:8" s="5" customFormat="1">
      <c r="A11722" s="1"/>
      <c r="B11722" s="1"/>
      <c r="C11722" s="1"/>
      <c r="D11722" s="1"/>
      <c r="E11722" s="62"/>
      <c r="F11722" s="6"/>
      <c r="G11722" s="65"/>
      <c r="H11722" s="65"/>
    </row>
    <row r="11723" spans="1:8" s="5" customFormat="1">
      <c r="A11723" s="1"/>
      <c r="B11723" s="1"/>
      <c r="C11723" s="1"/>
      <c r="D11723" s="1"/>
      <c r="E11723" s="62"/>
      <c r="F11723" s="6"/>
      <c r="G11723" s="65"/>
      <c r="H11723" s="65"/>
    </row>
    <row r="11724" spans="1:8" s="5" customFormat="1">
      <c r="A11724" s="1"/>
      <c r="B11724" s="1"/>
      <c r="C11724" s="1"/>
      <c r="D11724" s="1"/>
      <c r="E11724" s="62"/>
      <c r="F11724" s="6"/>
      <c r="G11724" s="65"/>
      <c r="H11724" s="65"/>
    </row>
    <row r="11725" spans="1:8" s="5" customFormat="1">
      <c r="A11725" s="1"/>
      <c r="B11725" s="1"/>
      <c r="C11725" s="1"/>
      <c r="D11725" s="1"/>
      <c r="E11725" s="62"/>
      <c r="F11725" s="6"/>
      <c r="G11725" s="65"/>
      <c r="H11725" s="65"/>
    </row>
    <row r="11726" spans="1:8" s="5" customFormat="1">
      <c r="A11726" s="1"/>
      <c r="B11726" s="1"/>
      <c r="C11726" s="1"/>
      <c r="D11726" s="1"/>
      <c r="E11726" s="62"/>
      <c r="F11726" s="6"/>
      <c r="G11726" s="65"/>
      <c r="H11726" s="65"/>
    </row>
    <row r="11727" spans="1:8" s="5" customFormat="1">
      <c r="A11727" s="1"/>
      <c r="B11727" s="1"/>
      <c r="C11727" s="1"/>
      <c r="D11727" s="1"/>
      <c r="E11727" s="62"/>
      <c r="F11727" s="6"/>
      <c r="G11727" s="65"/>
      <c r="H11727" s="65"/>
    </row>
    <row r="11728" spans="1:8" s="5" customFormat="1">
      <c r="A11728" s="1"/>
      <c r="B11728" s="1"/>
      <c r="C11728" s="1"/>
      <c r="D11728" s="1"/>
      <c r="E11728" s="62"/>
      <c r="F11728" s="6"/>
      <c r="G11728" s="65"/>
      <c r="H11728" s="65"/>
    </row>
    <row r="11729" spans="1:8" s="5" customFormat="1">
      <c r="A11729" s="1"/>
      <c r="B11729" s="1"/>
      <c r="C11729" s="1"/>
      <c r="D11729" s="1"/>
      <c r="E11729" s="62"/>
      <c r="F11729" s="6"/>
      <c r="G11729" s="65"/>
      <c r="H11729" s="65"/>
    </row>
    <row r="11730" spans="1:8" s="5" customFormat="1">
      <c r="A11730" s="1"/>
      <c r="B11730" s="1"/>
      <c r="C11730" s="1"/>
      <c r="D11730" s="1"/>
      <c r="E11730" s="62"/>
      <c r="F11730" s="6"/>
      <c r="G11730" s="65"/>
      <c r="H11730" s="65"/>
    </row>
    <row r="11731" spans="1:8" s="5" customFormat="1">
      <c r="A11731" s="1"/>
      <c r="B11731" s="1"/>
      <c r="C11731" s="1"/>
      <c r="D11731" s="1"/>
      <c r="E11731" s="62"/>
      <c r="F11731" s="6"/>
      <c r="G11731" s="65"/>
      <c r="H11731" s="65"/>
    </row>
    <row r="11732" spans="1:8" s="5" customFormat="1">
      <c r="A11732" s="1"/>
      <c r="B11732" s="1"/>
      <c r="C11732" s="1"/>
      <c r="D11732" s="1"/>
      <c r="E11732" s="62"/>
      <c r="F11732" s="6"/>
      <c r="G11732" s="65"/>
      <c r="H11732" s="65"/>
    </row>
    <row r="11733" spans="1:8" s="5" customFormat="1">
      <c r="A11733" s="1"/>
      <c r="B11733" s="1"/>
      <c r="C11733" s="1"/>
      <c r="D11733" s="1"/>
      <c r="E11733" s="62"/>
      <c r="F11733" s="6"/>
      <c r="G11733" s="65"/>
      <c r="H11733" s="65"/>
    </row>
    <row r="11734" spans="1:8" s="5" customFormat="1">
      <c r="A11734" s="1"/>
      <c r="B11734" s="1"/>
      <c r="C11734" s="1"/>
      <c r="D11734" s="1"/>
      <c r="E11734" s="62"/>
      <c r="F11734" s="6"/>
      <c r="G11734" s="65"/>
      <c r="H11734" s="65"/>
    </row>
    <row r="11735" spans="1:8" s="5" customFormat="1">
      <c r="A11735" s="1"/>
      <c r="B11735" s="1"/>
      <c r="C11735" s="1"/>
      <c r="D11735" s="1"/>
      <c r="E11735" s="62"/>
      <c r="F11735" s="6"/>
      <c r="G11735" s="65"/>
      <c r="H11735" s="65"/>
    </row>
    <row r="11736" spans="1:8" s="5" customFormat="1">
      <c r="A11736" s="1"/>
      <c r="B11736" s="1"/>
      <c r="C11736" s="1"/>
      <c r="D11736" s="1"/>
      <c r="E11736" s="62"/>
      <c r="F11736" s="6"/>
      <c r="G11736" s="65"/>
      <c r="H11736" s="65"/>
    </row>
    <row r="11737" spans="1:8" s="5" customFormat="1">
      <c r="A11737" s="1"/>
      <c r="B11737" s="1"/>
      <c r="C11737" s="1"/>
      <c r="D11737" s="1"/>
      <c r="E11737" s="62"/>
      <c r="F11737" s="6"/>
      <c r="G11737" s="65"/>
      <c r="H11737" s="65"/>
    </row>
    <row r="11738" spans="1:8" s="5" customFormat="1">
      <c r="A11738" s="1"/>
      <c r="B11738" s="1"/>
      <c r="C11738" s="1"/>
      <c r="D11738" s="1"/>
      <c r="E11738" s="62"/>
      <c r="F11738" s="6"/>
      <c r="G11738" s="65"/>
      <c r="H11738" s="65"/>
    </row>
    <row r="11739" spans="1:8" s="5" customFormat="1">
      <c r="A11739" s="1"/>
      <c r="B11739" s="1"/>
      <c r="C11739" s="1"/>
      <c r="D11739" s="1"/>
      <c r="E11739" s="62"/>
      <c r="F11739" s="6"/>
      <c r="G11739" s="65"/>
      <c r="H11739" s="65"/>
    </row>
    <row r="11740" spans="1:8" s="5" customFormat="1">
      <c r="A11740" s="1"/>
      <c r="B11740" s="1"/>
      <c r="C11740" s="1"/>
      <c r="D11740" s="1"/>
      <c r="E11740" s="62"/>
      <c r="F11740" s="6"/>
      <c r="G11740" s="65"/>
      <c r="H11740" s="65"/>
    </row>
    <row r="11741" spans="1:8" s="5" customFormat="1">
      <c r="A11741" s="1"/>
      <c r="B11741" s="1"/>
      <c r="C11741" s="1"/>
      <c r="D11741" s="1"/>
      <c r="E11741" s="62"/>
      <c r="F11741" s="6"/>
      <c r="G11741" s="65"/>
      <c r="H11741" s="65"/>
    </row>
    <row r="11742" spans="1:8" s="5" customFormat="1">
      <c r="A11742" s="1"/>
      <c r="B11742" s="1"/>
      <c r="C11742" s="1"/>
      <c r="D11742" s="1"/>
      <c r="E11742" s="62"/>
      <c r="F11742" s="6"/>
      <c r="G11742" s="65"/>
      <c r="H11742" s="65"/>
    </row>
    <row r="11743" spans="1:8" s="5" customFormat="1">
      <c r="A11743" s="1"/>
      <c r="B11743" s="1"/>
      <c r="C11743" s="1"/>
      <c r="D11743" s="1"/>
      <c r="E11743" s="62"/>
      <c r="F11743" s="6"/>
      <c r="G11743" s="65"/>
      <c r="H11743" s="65"/>
    </row>
    <row r="11744" spans="1:8" s="5" customFormat="1">
      <c r="A11744" s="1"/>
      <c r="B11744" s="1"/>
      <c r="C11744" s="1"/>
      <c r="D11744" s="1"/>
      <c r="E11744" s="62"/>
      <c r="F11744" s="6"/>
      <c r="G11744" s="65"/>
      <c r="H11744" s="65"/>
    </row>
    <row r="11745" spans="1:8" s="5" customFormat="1">
      <c r="A11745" s="1"/>
      <c r="B11745" s="1"/>
      <c r="C11745" s="1"/>
      <c r="D11745" s="1"/>
      <c r="E11745" s="62"/>
      <c r="F11745" s="6"/>
      <c r="G11745" s="65"/>
      <c r="H11745" s="65"/>
    </row>
    <row r="11746" spans="1:8" s="5" customFormat="1">
      <c r="A11746" s="1"/>
      <c r="B11746" s="1"/>
      <c r="C11746" s="1"/>
      <c r="D11746" s="1"/>
      <c r="E11746" s="62"/>
      <c r="F11746" s="6"/>
      <c r="G11746" s="65"/>
      <c r="H11746" s="65"/>
    </row>
    <row r="11747" spans="1:8" s="5" customFormat="1">
      <c r="A11747" s="1"/>
      <c r="B11747" s="1"/>
      <c r="C11747" s="1"/>
      <c r="D11747" s="1"/>
      <c r="E11747" s="62"/>
      <c r="F11747" s="6"/>
      <c r="G11747" s="65"/>
      <c r="H11747" s="65"/>
    </row>
    <row r="11748" spans="1:8" s="5" customFormat="1">
      <c r="A11748" s="1"/>
      <c r="B11748" s="1"/>
      <c r="C11748" s="1"/>
      <c r="D11748" s="1"/>
      <c r="E11748" s="62"/>
      <c r="F11748" s="6"/>
      <c r="G11748" s="65"/>
      <c r="H11748" s="65"/>
    </row>
    <row r="11749" spans="1:8" s="5" customFormat="1">
      <c r="A11749" s="1"/>
      <c r="B11749" s="1"/>
      <c r="C11749" s="1"/>
      <c r="D11749" s="1"/>
      <c r="E11749" s="62"/>
      <c r="F11749" s="6"/>
      <c r="G11749" s="65"/>
      <c r="H11749" s="65"/>
    </row>
    <row r="11750" spans="1:8" s="5" customFormat="1">
      <c r="A11750" s="1"/>
      <c r="B11750" s="1"/>
      <c r="C11750" s="1"/>
      <c r="D11750" s="1"/>
      <c r="E11750" s="62"/>
      <c r="F11750" s="6"/>
      <c r="G11750" s="65"/>
      <c r="H11750" s="65"/>
    </row>
    <row r="11751" spans="1:8" s="5" customFormat="1">
      <c r="A11751" s="1"/>
      <c r="B11751" s="1"/>
      <c r="C11751" s="1"/>
      <c r="D11751" s="1"/>
      <c r="E11751" s="62"/>
      <c r="F11751" s="6"/>
      <c r="G11751" s="65"/>
      <c r="H11751" s="65"/>
    </row>
    <row r="11752" spans="1:8" s="5" customFormat="1">
      <c r="A11752" s="1"/>
      <c r="B11752" s="1"/>
      <c r="C11752" s="1"/>
      <c r="D11752" s="1"/>
      <c r="E11752" s="62"/>
      <c r="F11752" s="6"/>
      <c r="G11752" s="65"/>
      <c r="H11752" s="65"/>
    </row>
    <row r="11753" spans="1:8" s="5" customFormat="1">
      <c r="A11753" s="1"/>
      <c r="B11753" s="1"/>
      <c r="C11753" s="1"/>
      <c r="D11753" s="1"/>
      <c r="E11753" s="62"/>
      <c r="F11753" s="6"/>
      <c r="G11753" s="65"/>
      <c r="H11753" s="65"/>
    </row>
    <row r="11754" spans="1:8" s="5" customFormat="1">
      <c r="A11754" s="1"/>
      <c r="B11754" s="1"/>
      <c r="C11754" s="1"/>
      <c r="D11754" s="1"/>
      <c r="E11754" s="62"/>
      <c r="F11754" s="6"/>
      <c r="G11754" s="65"/>
      <c r="H11754" s="65"/>
    </row>
    <row r="11755" spans="1:8" s="5" customFormat="1">
      <c r="A11755" s="1"/>
      <c r="B11755" s="1"/>
      <c r="C11755" s="1"/>
      <c r="D11755" s="1"/>
      <c r="E11755" s="62"/>
      <c r="F11755" s="6"/>
      <c r="G11755" s="65"/>
      <c r="H11755" s="65"/>
    </row>
    <row r="11756" spans="1:8" s="5" customFormat="1">
      <c r="A11756" s="1"/>
      <c r="B11756" s="1"/>
      <c r="C11756" s="1"/>
      <c r="D11756" s="1"/>
      <c r="E11756" s="62"/>
      <c r="F11756" s="6"/>
      <c r="G11756" s="65"/>
      <c r="H11756" s="65"/>
    </row>
    <row r="11757" spans="1:8" s="5" customFormat="1">
      <c r="A11757" s="1"/>
      <c r="B11757" s="1"/>
      <c r="C11757" s="1"/>
      <c r="D11757" s="1"/>
      <c r="E11757" s="62"/>
      <c r="F11757" s="6"/>
      <c r="G11757" s="65"/>
      <c r="H11757" s="65"/>
    </row>
    <row r="11758" spans="1:8" s="5" customFormat="1">
      <c r="A11758" s="1"/>
      <c r="B11758" s="1"/>
      <c r="C11758" s="1"/>
      <c r="D11758" s="1"/>
      <c r="E11758" s="62"/>
      <c r="F11758" s="6"/>
      <c r="G11758" s="65"/>
      <c r="H11758" s="65"/>
    </row>
    <row r="11759" spans="1:8" s="5" customFormat="1">
      <c r="A11759" s="1"/>
      <c r="B11759" s="1"/>
      <c r="C11759" s="1"/>
      <c r="D11759" s="1"/>
      <c r="E11759" s="62"/>
      <c r="F11759" s="6"/>
      <c r="G11759" s="65"/>
      <c r="H11759" s="65"/>
    </row>
    <row r="11760" spans="1:8" s="5" customFormat="1">
      <c r="A11760" s="1"/>
      <c r="B11760" s="1"/>
      <c r="C11760" s="1"/>
      <c r="D11760" s="1"/>
      <c r="E11760" s="62"/>
      <c r="F11760" s="6"/>
      <c r="G11760" s="65"/>
      <c r="H11760" s="65"/>
    </row>
    <row r="11761" spans="1:8" s="5" customFormat="1">
      <c r="A11761" s="1"/>
      <c r="B11761" s="1"/>
      <c r="C11761" s="1"/>
      <c r="D11761" s="1"/>
      <c r="E11761" s="62"/>
      <c r="F11761" s="6"/>
      <c r="G11761" s="65"/>
      <c r="H11761" s="65"/>
    </row>
    <row r="11762" spans="1:8" s="5" customFormat="1">
      <c r="A11762" s="1"/>
      <c r="B11762" s="1"/>
      <c r="C11762" s="1"/>
      <c r="D11762" s="1"/>
      <c r="E11762" s="62"/>
      <c r="F11762" s="6"/>
      <c r="G11762" s="65"/>
      <c r="H11762" s="65"/>
    </row>
    <row r="11763" spans="1:8" s="5" customFormat="1">
      <c r="A11763" s="1"/>
      <c r="B11763" s="1"/>
      <c r="C11763" s="1"/>
      <c r="D11763" s="1"/>
      <c r="E11763" s="62"/>
      <c r="F11763" s="6"/>
      <c r="G11763" s="65"/>
      <c r="H11763" s="65"/>
    </row>
    <row r="11764" spans="1:8" s="5" customFormat="1">
      <c r="A11764" s="1"/>
      <c r="B11764" s="1"/>
      <c r="C11764" s="1"/>
      <c r="D11764" s="1"/>
      <c r="E11764" s="62"/>
      <c r="F11764" s="6"/>
      <c r="G11764" s="65"/>
      <c r="H11764" s="65"/>
    </row>
    <row r="11765" spans="1:8" s="5" customFormat="1">
      <c r="A11765" s="1"/>
      <c r="B11765" s="1"/>
      <c r="C11765" s="1"/>
      <c r="D11765" s="1"/>
      <c r="E11765" s="62"/>
      <c r="F11765" s="6"/>
      <c r="G11765" s="65"/>
      <c r="H11765" s="65"/>
    </row>
    <row r="11766" spans="1:8" s="5" customFormat="1">
      <c r="A11766" s="1"/>
      <c r="B11766" s="1"/>
      <c r="C11766" s="1"/>
      <c r="D11766" s="1"/>
      <c r="E11766" s="62"/>
      <c r="F11766" s="6"/>
      <c r="G11766" s="65"/>
      <c r="H11766" s="65"/>
    </row>
    <row r="11767" spans="1:8" s="5" customFormat="1">
      <c r="A11767" s="1"/>
      <c r="B11767" s="1"/>
      <c r="C11767" s="1"/>
      <c r="D11767" s="1"/>
      <c r="E11767" s="62"/>
      <c r="F11767" s="6"/>
      <c r="G11767" s="65"/>
      <c r="H11767" s="65"/>
    </row>
    <row r="11768" spans="1:8" s="5" customFormat="1">
      <c r="A11768" s="1"/>
      <c r="B11768" s="1"/>
      <c r="C11768" s="1"/>
      <c r="D11768" s="1"/>
      <c r="E11768" s="62"/>
      <c r="F11768" s="6"/>
      <c r="G11768" s="65"/>
      <c r="H11768" s="65"/>
    </row>
    <row r="11769" spans="1:8" s="5" customFormat="1">
      <c r="A11769" s="1"/>
      <c r="B11769" s="1"/>
      <c r="C11769" s="1"/>
      <c r="D11769" s="1"/>
      <c r="E11769" s="62"/>
      <c r="F11769" s="6"/>
      <c r="G11769" s="65"/>
      <c r="H11769" s="65"/>
    </row>
    <row r="11770" spans="1:8" s="5" customFormat="1">
      <c r="A11770" s="1"/>
      <c r="B11770" s="1"/>
      <c r="C11770" s="1"/>
      <c r="D11770" s="1"/>
      <c r="E11770" s="62"/>
      <c r="F11770" s="6"/>
      <c r="G11770" s="65"/>
      <c r="H11770" s="65"/>
    </row>
    <row r="11771" spans="1:8" s="5" customFormat="1">
      <c r="A11771" s="1"/>
      <c r="B11771" s="1"/>
      <c r="C11771" s="1"/>
      <c r="D11771" s="1"/>
      <c r="E11771" s="62"/>
      <c r="F11771" s="6"/>
      <c r="G11771" s="65"/>
      <c r="H11771" s="65"/>
    </row>
    <row r="11772" spans="1:8" s="5" customFormat="1">
      <c r="A11772" s="1"/>
      <c r="B11772" s="1"/>
      <c r="C11772" s="1"/>
      <c r="D11772" s="1"/>
      <c r="E11772" s="62"/>
      <c r="F11772" s="6"/>
      <c r="G11772" s="65"/>
      <c r="H11772" s="65"/>
    </row>
    <row r="11773" spans="1:8" s="5" customFormat="1">
      <c r="A11773" s="1"/>
      <c r="B11773" s="1"/>
      <c r="C11773" s="1"/>
      <c r="D11773" s="1"/>
      <c r="E11773" s="62"/>
      <c r="F11773" s="6"/>
      <c r="G11773" s="65"/>
      <c r="H11773" s="65"/>
    </row>
    <row r="11774" spans="1:8" s="5" customFormat="1">
      <c r="A11774" s="1"/>
      <c r="B11774" s="1"/>
      <c r="C11774" s="1"/>
      <c r="D11774" s="1"/>
      <c r="E11774" s="62"/>
      <c r="F11774" s="6"/>
      <c r="G11774" s="65"/>
      <c r="H11774" s="65"/>
    </row>
    <row r="11775" spans="1:8" s="5" customFormat="1">
      <c r="A11775" s="1"/>
      <c r="B11775" s="1"/>
      <c r="C11775" s="1"/>
      <c r="D11775" s="1"/>
      <c r="E11775" s="62"/>
      <c r="F11775" s="6"/>
      <c r="G11775" s="65"/>
      <c r="H11775" s="65"/>
    </row>
    <row r="11776" spans="1:8" s="5" customFormat="1">
      <c r="A11776" s="1"/>
      <c r="B11776" s="1"/>
      <c r="C11776" s="1"/>
      <c r="D11776" s="1"/>
      <c r="E11776" s="62"/>
      <c r="F11776" s="6"/>
      <c r="G11776" s="65"/>
      <c r="H11776" s="65"/>
    </row>
    <row r="11777" spans="1:8" s="5" customFormat="1">
      <c r="A11777" s="1"/>
      <c r="B11777" s="1"/>
      <c r="C11777" s="1"/>
      <c r="D11777" s="1"/>
      <c r="E11777" s="62"/>
      <c r="F11777" s="6"/>
      <c r="G11777" s="65"/>
      <c r="H11777" s="65"/>
    </row>
    <row r="11778" spans="1:8" s="5" customFormat="1">
      <c r="A11778" s="1"/>
      <c r="B11778" s="1"/>
      <c r="C11778" s="1"/>
      <c r="D11778" s="1"/>
      <c r="E11778" s="62"/>
      <c r="F11778" s="6"/>
      <c r="G11778" s="65"/>
      <c r="H11778" s="65"/>
    </row>
    <row r="11779" spans="1:8" s="5" customFormat="1">
      <c r="A11779" s="1"/>
      <c r="B11779" s="1"/>
      <c r="C11779" s="1"/>
      <c r="D11779" s="1"/>
      <c r="E11779" s="62"/>
      <c r="F11779" s="6"/>
      <c r="G11779" s="65"/>
      <c r="H11779" s="65"/>
    </row>
    <row r="11780" spans="1:8" s="5" customFormat="1">
      <c r="A11780" s="1"/>
      <c r="B11780" s="1"/>
      <c r="C11780" s="1"/>
      <c r="D11780" s="1"/>
      <c r="E11780" s="62"/>
      <c r="F11780" s="6"/>
      <c r="G11780" s="65"/>
      <c r="H11780" s="65"/>
    </row>
    <row r="11781" spans="1:8" s="5" customFormat="1">
      <c r="A11781" s="1"/>
      <c r="B11781" s="1"/>
      <c r="C11781" s="1"/>
      <c r="D11781" s="1"/>
      <c r="E11781" s="62"/>
      <c r="F11781" s="6"/>
      <c r="G11781" s="65"/>
      <c r="H11781" s="65"/>
    </row>
    <row r="11782" spans="1:8" s="5" customFormat="1">
      <c r="A11782" s="1"/>
      <c r="B11782" s="1"/>
      <c r="C11782" s="1"/>
      <c r="D11782" s="1"/>
      <c r="E11782" s="62"/>
      <c r="F11782" s="6"/>
      <c r="G11782" s="65"/>
      <c r="H11782" s="65"/>
    </row>
    <row r="11783" spans="1:8" s="5" customFormat="1">
      <c r="A11783" s="1"/>
      <c r="B11783" s="1"/>
      <c r="C11783" s="1"/>
      <c r="D11783" s="1"/>
      <c r="E11783" s="62"/>
      <c r="F11783" s="6"/>
      <c r="G11783" s="65"/>
      <c r="H11783" s="65"/>
    </row>
    <row r="11784" spans="1:8" s="5" customFormat="1">
      <c r="A11784" s="1"/>
      <c r="B11784" s="1"/>
      <c r="C11784" s="1"/>
      <c r="D11784" s="1"/>
      <c r="E11784" s="62"/>
      <c r="F11784" s="6"/>
      <c r="G11784" s="65"/>
      <c r="H11784" s="65"/>
    </row>
    <row r="11785" spans="1:8" s="5" customFormat="1">
      <c r="A11785" s="1"/>
      <c r="B11785" s="1"/>
      <c r="C11785" s="1"/>
      <c r="D11785" s="1"/>
      <c r="E11785" s="62"/>
      <c r="F11785" s="6"/>
      <c r="G11785" s="65"/>
      <c r="H11785" s="65"/>
    </row>
    <row r="11786" spans="1:8" s="5" customFormat="1">
      <c r="A11786" s="1"/>
      <c r="B11786" s="1"/>
      <c r="C11786" s="1"/>
      <c r="D11786" s="1"/>
      <c r="E11786" s="62"/>
      <c r="F11786" s="6"/>
      <c r="G11786" s="65"/>
      <c r="H11786" s="65"/>
    </row>
    <row r="11787" spans="1:8" s="5" customFormat="1">
      <c r="A11787" s="1"/>
      <c r="B11787" s="1"/>
      <c r="C11787" s="1"/>
      <c r="D11787" s="1"/>
      <c r="E11787" s="62"/>
      <c r="F11787" s="6"/>
      <c r="G11787" s="65"/>
      <c r="H11787" s="65"/>
    </row>
    <row r="11788" spans="1:8" s="5" customFormat="1">
      <c r="A11788" s="1"/>
      <c r="B11788" s="1"/>
      <c r="C11788" s="1"/>
      <c r="D11788" s="1"/>
      <c r="E11788" s="62"/>
      <c r="F11788" s="6"/>
      <c r="G11788" s="65"/>
      <c r="H11788" s="65"/>
    </row>
    <row r="11789" spans="1:8" s="5" customFormat="1">
      <c r="A11789" s="1"/>
      <c r="B11789" s="1"/>
      <c r="C11789" s="1"/>
      <c r="D11789" s="1"/>
      <c r="E11789" s="62"/>
      <c r="F11789" s="6"/>
      <c r="G11789" s="65"/>
      <c r="H11789" s="65"/>
    </row>
    <row r="11790" spans="1:8" s="5" customFormat="1">
      <c r="A11790" s="1"/>
      <c r="B11790" s="1"/>
      <c r="C11790" s="1"/>
      <c r="D11790" s="1"/>
      <c r="E11790" s="62"/>
      <c r="F11790" s="6"/>
      <c r="G11790" s="65"/>
      <c r="H11790" s="65"/>
    </row>
    <row r="11791" spans="1:8" s="5" customFormat="1">
      <c r="A11791" s="1"/>
      <c r="B11791" s="1"/>
      <c r="C11791" s="1"/>
      <c r="D11791" s="1"/>
      <c r="E11791" s="62"/>
      <c r="F11791" s="6"/>
      <c r="G11791" s="65"/>
      <c r="H11791" s="65"/>
    </row>
    <row r="11792" spans="1:8" s="5" customFormat="1">
      <c r="A11792" s="1"/>
      <c r="B11792" s="1"/>
      <c r="C11792" s="1"/>
      <c r="D11792" s="1"/>
      <c r="E11792" s="62"/>
      <c r="F11792" s="6"/>
      <c r="G11792" s="65"/>
      <c r="H11792" s="65"/>
    </row>
    <row r="11793" spans="1:8" s="5" customFormat="1">
      <c r="A11793" s="1"/>
      <c r="B11793" s="1"/>
      <c r="C11793" s="1"/>
      <c r="D11793" s="1"/>
      <c r="E11793" s="62"/>
      <c r="F11793" s="6"/>
      <c r="G11793" s="65"/>
      <c r="H11793" s="65"/>
    </row>
    <row r="11794" spans="1:8" s="5" customFormat="1">
      <c r="A11794" s="1"/>
      <c r="B11794" s="1"/>
      <c r="C11794" s="1"/>
      <c r="D11794" s="1"/>
      <c r="E11794" s="62"/>
      <c r="F11794" s="6"/>
      <c r="G11794" s="65"/>
      <c r="H11794" s="65"/>
    </row>
    <row r="11795" spans="1:8" s="5" customFormat="1">
      <c r="A11795" s="1"/>
      <c r="B11795" s="1"/>
      <c r="C11795" s="1"/>
      <c r="D11795" s="1"/>
      <c r="E11795" s="62"/>
      <c r="F11795" s="6"/>
      <c r="G11795" s="65"/>
      <c r="H11795" s="65"/>
    </row>
    <row r="11796" spans="1:8" s="5" customFormat="1">
      <c r="A11796" s="1"/>
      <c r="B11796" s="1"/>
      <c r="C11796" s="1"/>
      <c r="D11796" s="1"/>
      <c r="E11796" s="62"/>
      <c r="F11796" s="6"/>
      <c r="G11796" s="65"/>
      <c r="H11796" s="65"/>
    </row>
    <row r="11797" spans="1:8" s="5" customFormat="1">
      <c r="A11797" s="1"/>
      <c r="B11797" s="1"/>
      <c r="C11797" s="1"/>
      <c r="D11797" s="1"/>
      <c r="E11797" s="62"/>
      <c r="F11797" s="6"/>
      <c r="G11797" s="65"/>
      <c r="H11797" s="65"/>
    </row>
    <row r="11798" spans="1:8" s="5" customFormat="1">
      <c r="A11798" s="1"/>
      <c r="B11798" s="1"/>
      <c r="C11798" s="1"/>
      <c r="D11798" s="1"/>
      <c r="E11798" s="62"/>
      <c r="F11798" s="6"/>
      <c r="G11798" s="65"/>
      <c r="H11798" s="65"/>
    </row>
    <row r="11799" spans="1:8" s="5" customFormat="1">
      <c r="A11799" s="1"/>
      <c r="B11799" s="1"/>
      <c r="C11799" s="1"/>
      <c r="D11799" s="1"/>
      <c r="E11799" s="62"/>
      <c r="F11799" s="6"/>
      <c r="G11799" s="65"/>
      <c r="H11799" s="65"/>
    </row>
    <row r="11800" spans="1:8" s="5" customFormat="1">
      <c r="A11800" s="1"/>
      <c r="B11800" s="1"/>
      <c r="C11800" s="1"/>
      <c r="D11800" s="1"/>
      <c r="E11800" s="62"/>
      <c r="F11800" s="6"/>
      <c r="G11800" s="65"/>
      <c r="H11800" s="65"/>
    </row>
    <row r="11801" spans="1:8" s="5" customFormat="1">
      <c r="A11801" s="1"/>
      <c r="B11801" s="1"/>
      <c r="C11801" s="1"/>
      <c r="D11801" s="1"/>
      <c r="E11801" s="62"/>
      <c r="F11801" s="6"/>
      <c r="G11801" s="65"/>
      <c r="H11801" s="65"/>
    </row>
    <row r="11802" spans="1:8" s="5" customFormat="1">
      <c r="A11802" s="1"/>
      <c r="B11802" s="1"/>
      <c r="C11802" s="1"/>
      <c r="D11802" s="1"/>
      <c r="E11802" s="62"/>
      <c r="F11802" s="6"/>
      <c r="G11802" s="65"/>
      <c r="H11802" s="65"/>
    </row>
    <row r="11803" spans="1:8" s="5" customFormat="1">
      <c r="A11803" s="1"/>
      <c r="B11803" s="1"/>
      <c r="C11803" s="1"/>
      <c r="D11803" s="1"/>
      <c r="E11803" s="62"/>
      <c r="F11803" s="6"/>
      <c r="G11803" s="65"/>
      <c r="H11803" s="65"/>
    </row>
    <row r="11804" spans="1:8" s="5" customFormat="1">
      <c r="A11804" s="1"/>
      <c r="B11804" s="1"/>
      <c r="C11804" s="1"/>
      <c r="D11804" s="1"/>
      <c r="E11804" s="62"/>
      <c r="F11804" s="6"/>
      <c r="G11804" s="65"/>
      <c r="H11804" s="65"/>
    </row>
    <row r="11805" spans="1:8" s="5" customFormat="1">
      <c r="A11805" s="1"/>
      <c r="B11805" s="1"/>
      <c r="C11805" s="1"/>
      <c r="D11805" s="1"/>
      <c r="E11805" s="62"/>
      <c r="F11805" s="6"/>
      <c r="G11805" s="65"/>
      <c r="H11805" s="65"/>
    </row>
    <row r="11806" spans="1:8" s="5" customFormat="1">
      <c r="A11806" s="1"/>
      <c r="B11806" s="1"/>
      <c r="C11806" s="1"/>
      <c r="D11806" s="1"/>
      <c r="E11806" s="62"/>
      <c r="F11806" s="6"/>
      <c r="G11806" s="65"/>
      <c r="H11806" s="65"/>
    </row>
    <row r="11807" spans="1:8" s="5" customFormat="1">
      <c r="A11807" s="1"/>
      <c r="B11807" s="1"/>
      <c r="C11807" s="1"/>
      <c r="D11807" s="1"/>
      <c r="E11807" s="62"/>
      <c r="F11807" s="6"/>
      <c r="G11807" s="65"/>
      <c r="H11807" s="65"/>
    </row>
    <row r="11808" spans="1:8" s="5" customFormat="1">
      <c r="A11808" s="1"/>
      <c r="B11808" s="1"/>
      <c r="C11808" s="1"/>
      <c r="D11808" s="1"/>
      <c r="E11808" s="62"/>
      <c r="F11808" s="6"/>
      <c r="G11808" s="65"/>
      <c r="H11808" s="65"/>
    </row>
  </sheetData>
  <phoneticPr fontId="3"/>
  <conditionalFormatting sqref="A7817:A7865 A7915:A7937 A7943:A8028 A7:A7763">
    <cfRule type="cellIs" dxfId="99" priority="122" operator="equal">
      <formula>"×"</formula>
    </cfRule>
  </conditionalFormatting>
  <conditionalFormatting sqref="A7780:A7781">
    <cfRule type="cellIs" dxfId="98" priority="118" operator="equal">
      <formula>"×"</formula>
    </cfRule>
  </conditionalFormatting>
  <conditionalFormatting sqref="A7782:A7783">
    <cfRule type="cellIs" dxfId="97" priority="117" operator="equal">
      <formula>"×"</formula>
    </cfRule>
  </conditionalFormatting>
  <conditionalFormatting sqref="A7784:A7785">
    <cfRule type="cellIs" dxfId="96" priority="116" operator="equal">
      <formula>"×"</formula>
    </cfRule>
  </conditionalFormatting>
  <conditionalFormatting sqref="A7786:A7787">
    <cfRule type="cellIs" dxfId="95" priority="115" operator="equal">
      <formula>"×"</formula>
    </cfRule>
  </conditionalFormatting>
  <conditionalFormatting sqref="A7788:A7789">
    <cfRule type="cellIs" dxfId="94" priority="114" operator="equal">
      <formula>"×"</formula>
    </cfRule>
  </conditionalFormatting>
  <conditionalFormatting sqref="A7790:A7791">
    <cfRule type="cellIs" dxfId="93" priority="113" operator="equal">
      <formula>"×"</formula>
    </cfRule>
  </conditionalFormatting>
  <conditionalFormatting sqref="A7792">
    <cfRule type="cellIs" dxfId="92" priority="112" operator="equal">
      <formula>"×"</formula>
    </cfRule>
  </conditionalFormatting>
  <conditionalFormatting sqref="A7764:A7765">
    <cfRule type="cellIs" dxfId="91" priority="110" operator="equal">
      <formula>"×"</formula>
    </cfRule>
  </conditionalFormatting>
  <conditionalFormatting sqref="A7766:A7767">
    <cfRule type="cellIs" dxfId="90" priority="109" operator="equal">
      <formula>"×"</formula>
    </cfRule>
  </conditionalFormatting>
  <conditionalFormatting sqref="A7768:A7769">
    <cfRule type="cellIs" dxfId="89" priority="108" operator="equal">
      <formula>"×"</formula>
    </cfRule>
  </conditionalFormatting>
  <conditionalFormatting sqref="A7770:A7771">
    <cfRule type="cellIs" dxfId="88" priority="107" operator="equal">
      <formula>"×"</formula>
    </cfRule>
  </conditionalFormatting>
  <conditionalFormatting sqref="A7772:A7773">
    <cfRule type="cellIs" dxfId="87" priority="106" operator="equal">
      <formula>"×"</formula>
    </cfRule>
  </conditionalFormatting>
  <conditionalFormatting sqref="A7774:A7775">
    <cfRule type="cellIs" dxfId="86" priority="105" operator="equal">
      <formula>"×"</formula>
    </cfRule>
  </conditionalFormatting>
  <conditionalFormatting sqref="A7776:A7777">
    <cfRule type="cellIs" dxfId="85" priority="104" operator="equal">
      <formula>"×"</formula>
    </cfRule>
  </conditionalFormatting>
  <conditionalFormatting sqref="A7778:A7779">
    <cfRule type="cellIs" dxfId="84" priority="103" operator="equal">
      <formula>"×"</formula>
    </cfRule>
  </conditionalFormatting>
  <conditionalFormatting sqref="A7793">
    <cfRule type="cellIs" dxfId="83" priority="102" operator="equal">
      <formula>"×"</formula>
    </cfRule>
  </conditionalFormatting>
  <conditionalFormatting sqref="A7794">
    <cfRule type="cellIs" dxfId="82" priority="101" operator="equal">
      <formula>"×"</formula>
    </cfRule>
  </conditionalFormatting>
  <conditionalFormatting sqref="A7795">
    <cfRule type="cellIs" dxfId="81" priority="100" operator="equal">
      <formula>"×"</formula>
    </cfRule>
  </conditionalFormatting>
  <conditionalFormatting sqref="A7796">
    <cfRule type="cellIs" dxfId="80" priority="99" operator="equal">
      <formula>"×"</formula>
    </cfRule>
  </conditionalFormatting>
  <conditionalFormatting sqref="A7797">
    <cfRule type="cellIs" dxfId="79" priority="98" operator="equal">
      <formula>"×"</formula>
    </cfRule>
  </conditionalFormatting>
  <conditionalFormatting sqref="A7798">
    <cfRule type="cellIs" dxfId="78" priority="97" operator="equal">
      <formula>"×"</formula>
    </cfRule>
  </conditionalFormatting>
  <conditionalFormatting sqref="A7799">
    <cfRule type="cellIs" dxfId="77" priority="96" operator="equal">
      <formula>"×"</formula>
    </cfRule>
  </conditionalFormatting>
  <conditionalFormatting sqref="A7800">
    <cfRule type="cellIs" dxfId="76" priority="95" operator="equal">
      <formula>"×"</formula>
    </cfRule>
  </conditionalFormatting>
  <conditionalFormatting sqref="A7801">
    <cfRule type="cellIs" dxfId="75" priority="94" operator="equal">
      <formula>"×"</formula>
    </cfRule>
  </conditionalFormatting>
  <conditionalFormatting sqref="A7802">
    <cfRule type="cellIs" dxfId="74" priority="93" operator="equal">
      <formula>"×"</formula>
    </cfRule>
  </conditionalFormatting>
  <conditionalFormatting sqref="A7803">
    <cfRule type="cellIs" dxfId="73" priority="92" operator="equal">
      <formula>"×"</formula>
    </cfRule>
  </conditionalFormatting>
  <conditionalFormatting sqref="A7804">
    <cfRule type="cellIs" dxfId="72" priority="91" operator="equal">
      <formula>"×"</formula>
    </cfRule>
  </conditionalFormatting>
  <conditionalFormatting sqref="A7805">
    <cfRule type="cellIs" dxfId="71" priority="90" operator="equal">
      <formula>"×"</formula>
    </cfRule>
  </conditionalFormatting>
  <conditionalFormatting sqref="A7806">
    <cfRule type="cellIs" dxfId="70" priority="89" operator="equal">
      <formula>"×"</formula>
    </cfRule>
  </conditionalFormatting>
  <conditionalFormatting sqref="A7807">
    <cfRule type="cellIs" dxfId="69" priority="88" operator="equal">
      <formula>"×"</formula>
    </cfRule>
  </conditionalFormatting>
  <conditionalFormatting sqref="A7808">
    <cfRule type="cellIs" dxfId="68" priority="87" operator="equal">
      <formula>"×"</formula>
    </cfRule>
  </conditionalFormatting>
  <conditionalFormatting sqref="A7809">
    <cfRule type="cellIs" dxfId="67" priority="86" operator="equal">
      <formula>"×"</formula>
    </cfRule>
  </conditionalFormatting>
  <conditionalFormatting sqref="A7810">
    <cfRule type="cellIs" dxfId="66" priority="85" operator="equal">
      <formula>"×"</formula>
    </cfRule>
  </conditionalFormatting>
  <conditionalFormatting sqref="A7811">
    <cfRule type="cellIs" dxfId="65" priority="84" operator="equal">
      <formula>"×"</formula>
    </cfRule>
  </conditionalFormatting>
  <conditionalFormatting sqref="A7812">
    <cfRule type="cellIs" dxfId="64" priority="83" operator="equal">
      <formula>"×"</formula>
    </cfRule>
  </conditionalFormatting>
  <conditionalFormatting sqref="A7813">
    <cfRule type="cellIs" dxfId="63" priority="80" operator="equal">
      <formula>"×"</formula>
    </cfRule>
  </conditionalFormatting>
  <conditionalFormatting sqref="A7814">
    <cfRule type="cellIs" dxfId="62" priority="79" operator="equal">
      <formula>"×"</formula>
    </cfRule>
  </conditionalFormatting>
  <conditionalFormatting sqref="A7815">
    <cfRule type="cellIs" dxfId="61" priority="78" operator="equal">
      <formula>"×"</formula>
    </cfRule>
  </conditionalFormatting>
  <conditionalFormatting sqref="A7816">
    <cfRule type="cellIs" dxfId="60" priority="77" operator="equal">
      <formula>"×"</formula>
    </cfRule>
  </conditionalFormatting>
  <conditionalFormatting sqref="A7866">
    <cfRule type="cellIs" dxfId="59" priority="74" operator="equal">
      <formula>"×"</formula>
    </cfRule>
  </conditionalFormatting>
  <conditionalFormatting sqref="A7867:A7914">
    <cfRule type="cellIs" dxfId="58" priority="71" operator="equal">
      <formula>"×"</formula>
    </cfRule>
  </conditionalFormatting>
  <conditionalFormatting sqref="A7938 A7942">
    <cfRule type="cellIs" dxfId="57" priority="69" operator="equal">
      <formula>"×"</formula>
    </cfRule>
  </conditionalFormatting>
  <conditionalFormatting sqref="A7941">
    <cfRule type="cellIs" dxfId="56" priority="68" operator="equal">
      <formula>"×"</formula>
    </cfRule>
  </conditionalFormatting>
  <conditionalFormatting sqref="A7940">
    <cfRule type="cellIs" dxfId="55" priority="67" operator="equal">
      <formula>"×"</formula>
    </cfRule>
  </conditionalFormatting>
  <conditionalFormatting sqref="A7939">
    <cfRule type="cellIs" dxfId="54" priority="66" operator="equal">
      <formula>"×"</formula>
    </cfRule>
  </conditionalFormatting>
  <conditionalFormatting sqref="A8029">
    <cfRule type="cellIs" dxfId="53" priority="64" operator="equal">
      <formula>"×"</formula>
    </cfRule>
  </conditionalFormatting>
  <conditionalFormatting sqref="A8053">
    <cfRule type="cellIs" dxfId="52" priority="56" operator="equal">
      <formula>"×"</formula>
    </cfRule>
  </conditionalFormatting>
  <conditionalFormatting sqref="A8052">
    <cfRule type="cellIs" dxfId="51" priority="55" operator="equal">
      <formula>"×"</formula>
    </cfRule>
  </conditionalFormatting>
  <conditionalFormatting sqref="A8051">
    <cfRule type="cellIs" dxfId="50" priority="54" operator="equal">
      <formula>"×"</formula>
    </cfRule>
  </conditionalFormatting>
  <conditionalFormatting sqref="A8050">
    <cfRule type="cellIs" dxfId="49" priority="53" operator="equal">
      <formula>"×"</formula>
    </cfRule>
  </conditionalFormatting>
  <conditionalFormatting sqref="A8049">
    <cfRule type="cellIs" dxfId="48" priority="52" operator="equal">
      <formula>"×"</formula>
    </cfRule>
  </conditionalFormatting>
  <conditionalFormatting sqref="A8048">
    <cfRule type="cellIs" dxfId="47" priority="51" operator="equal">
      <formula>"×"</formula>
    </cfRule>
  </conditionalFormatting>
  <conditionalFormatting sqref="A8047">
    <cfRule type="cellIs" dxfId="46" priority="50" operator="equal">
      <formula>"×"</formula>
    </cfRule>
  </conditionalFormatting>
  <conditionalFormatting sqref="A8046">
    <cfRule type="cellIs" dxfId="45" priority="49" operator="equal">
      <formula>"×"</formula>
    </cfRule>
  </conditionalFormatting>
  <conditionalFormatting sqref="A8045">
    <cfRule type="cellIs" dxfId="44" priority="48" operator="equal">
      <formula>"×"</formula>
    </cfRule>
  </conditionalFormatting>
  <conditionalFormatting sqref="A8044">
    <cfRule type="cellIs" dxfId="43" priority="47" operator="equal">
      <formula>"×"</formula>
    </cfRule>
  </conditionalFormatting>
  <conditionalFormatting sqref="A8043">
    <cfRule type="cellIs" dxfId="42" priority="46" operator="equal">
      <formula>"×"</formula>
    </cfRule>
  </conditionalFormatting>
  <conditionalFormatting sqref="A8042">
    <cfRule type="cellIs" dxfId="41" priority="45" operator="equal">
      <formula>"×"</formula>
    </cfRule>
  </conditionalFormatting>
  <conditionalFormatting sqref="A8041">
    <cfRule type="cellIs" dxfId="40" priority="44" operator="equal">
      <formula>"×"</formula>
    </cfRule>
  </conditionalFormatting>
  <conditionalFormatting sqref="A8040">
    <cfRule type="cellIs" dxfId="39" priority="43" operator="equal">
      <formula>"×"</formula>
    </cfRule>
  </conditionalFormatting>
  <conditionalFormatting sqref="A8039">
    <cfRule type="cellIs" dxfId="38" priority="42" operator="equal">
      <formula>"×"</formula>
    </cfRule>
  </conditionalFormatting>
  <conditionalFormatting sqref="A8038">
    <cfRule type="cellIs" dxfId="37" priority="41" operator="equal">
      <formula>"×"</formula>
    </cfRule>
  </conditionalFormatting>
  <conditionalFormatting sqref="A8037">
    <cfRule type="cellIs" dxfId="36" priority="40" operator="equal">
      <formula>"×"</formula>
    </cfRule>
  </conditionalFormatting>
  <conditionalFormatting sqref="A8036">
    <cfRule type="cellIs" dxfId="35" priority="39" operator="equal">
      <formula>"×"</formula>
    </cfRule>
  </conditionalFormatting>
  <conditionalFormatting sqref="A8035">
    <cfRule type="cellIs" dxfId="34" priority="38" operator="equal">
      <formula>"×"</formula>
    </cfRule>
  </conditionalFormatting>
  <conditionalFormatting sqref="A8034">
    <cfRule type="cellIs" dxfId="33" priority="37" operator="equal">
      <formula>"×"</formula>
    </cfRule>
  </conditionalFormatting>
  <conditionalFormatting sqref="A8033">
    <cfRule type="cellIs" dxfId="32" priority="36" operator="equal">
      <formula>"×"</formula>
    </cfRule>
  </conditionalFormatting>
  <conditionalFormatting sqref="A8032">
    <cfRule type="cellIs" dxfId="31" priority="35" operator="equal">
      <formula>"×"</formula>
    </cfRule>
  </conditionalFormatting>
  <conditionalFormatting sqref="A8031">
    <cfRule type="cellIs" dxfId="30" priority="34" operator="equal">
      <formula>"×"</formula>
    </cfRule>
  </conditionalFormatting>
  <conditionalFormatting sqref="A8030">
    <cfRule type="cellIs" dxfId="29" priority="33" operator="equal">
      <formula>"×"</formula>
    </cfRule>
  </conditionalFormatting>
  <conditionalFormatting sqref="A8054">
    <cfRule type="cellIs" dxfId="28" priority="32" operator="equal">
      <formula>"×"</formula>
    </cfRule>
  </conditionalFormatting>
  <conditionalFormatting sqref="A8082:A8185">
    <cfRule type="cellIs" dxfId="27" priority="28" operator="equal">
      <formula>"×"</formula>
    </cfRule>
  </conditionalFormatting>
  <conditionalFormatting sqref="A8081">
    <cfRule type="cellIs" dxfId="26" priority="27" operator="equal">
      <formula>"×"</formula>
    </cfRule>
  </conditionalFormatting>
  <conditionalFormatting sqref="A8080">
    <cfRule type="cellIs" dxfId="25" priority="26" operator="equal">
      <formula>"×"</formula>
    </cfRule>
  </conditionalFormatting>
  <conditionalFormatting sqref="A8079">
    <cfRule type="cellIs" dxfId="24" priority="25" operator="equal">
      <formula>"×"</formula>
    </cfRule>
  </conditionalFormatting>
  <conditionalFormatting sqref="A8078">
    <cfRule type="cellIs" dxfId="23" priority="24" operator="equal">
      <formula>"×"</formula>
    </cfRule>
  </conditionalFormatting>
  <conditionalFormatting sqref="A8077">
    <cfRule type="cellIs" dxfId="22" priority="23" operator="equal">
      <formula>"×"</formula>
    </cfRule>
  </conditionalFormatting>
  <conditionalFormatting sqref="A8076">
    <cfRule type="cellIs" dxfId="21" priority="22" operator="equal">
      <formula>"×"</formula>
    </cfRule>
  </conditionalFormatting>
  <conditionalFormatting sqref="A8075">
    <cfRule type="cellIs" dxfId="20" priority="21" operator="equal">
      <formula>"×"</formula>
    </cfRule>
  </conditionalFormatting>
  <conditionalFormatting sqref="A8074">
    <cfRule type="cellIs" dxfId="19" priority="20" operator="equal">
      <formula>"×"</formula>
    </cfRule>
  </conditionalFormatting>
  <conditionalFormatting sqref="A8073">
    <cfRule type="cellIs" dxfId="18" priority="19" operator="equal">
      <formula>"×"</formula>
    </cfRule>
  </conditionalFormatting>
  <conditionalFormatting sqref="A8072">
    <cfRule type="cellIs" dxfId="17" priority="18" operator="equal">
      <formula>"×"</formula>
    </cfRule>
  </conditionalFormatting>
  <conditionalFormatting sqref="A8071">
    <cfRule type="cellIs" dxfId="16" priority="17" operator="equal">
      <formula>"×"</formula>
    </cfRule>
  </conditionalFormatting>
  <conditionalFormatting sqref="A8070">
    <cfRule type="cellIs" dxfId="15" priority="16" operator="equal">
      <formula>"×"</formula>
    </cfRule>
  </conditionalFormatting>
  <conditionalFormatting sqref="A8069">
    <cfRule type="cellIs" dxfId="14" priority="15" operator="equal">
      <formula>"×"</formula>
    </cfRule>
  </conditionalFormatting>
  <conditionalFormatting sqref="A8068">
    <cfRule type="cellIs" dxfId="13" priority="14" operator="equal">
      <formula>"×"</formula>
    </cfRule>
  </conditionalFormatting>
  <conditionalFormatting sqref="A8067">
    <cfRule type="cellIs" dxfId="12" priority="13" operator="equal">
      <formula>"×"</formula>
    </cfRule>
  </conditionalFormatting>
  <conditionalFormatting sqref="A8066">
    <cfRule type="cellIs" dxfId="11" priority="12" operator="equal">
      <formula>"×"</formula>
    </cfRule>
  </conditionalFormatting>
  <conditionalFormatting sqref="A8065">
    <cfRule type="cellIs" dxfId="10" priority="11" operator="equal">
      <formula>"×"</formula>
    </cfRule>
  </conditionalFormatting>
  <conditionalFormatting sqref="A8064">
    <cfRule type="cellIs" dxfId="9" priority="10" operator="equal">
      <formula>"×"</formula>
    </cfRule>
  </conditionalFormatting>
  <conditionalFormatting sqref="A8063">
    <cfRule type="cellIs" dxfId="8" priority="9" operator="equal">
      <formula>"×"</formula>
    </cfRule>
  </conditionalFormatting>
  <conditionalFormatting sqref="A8062">
    <cfRule type="cellIs" dxfId="7" priority="8" operator="equal">
      <formula>"×"</formula>
    </cfRule>
  </conditionalFormatting>
  <conditionalFormatting sqref="A8061">
    <cfRule type="cellIs" dxfId="6" priority="7" operator="equal">
      <formula>"×"</formula>
    </cfRule>
  </conditionalFormatting>
  <conditionalFormatting sqref="A8060">
    <cfRule type="cellIs" dxfId="5" priority="6" operator="equal">
      <formula>"×"</formula>
    </cfRule>
  </conditionalFormatting>
  <conditionalFormatting sqref="A8059">
    <cfRule type="cellIs" dxfId="4" priority="5" operator="equal">
      <formula>"×"</formula>
    </cfRule>
  </conditionalFormatting>
  <conditionalFormatting sqref="A8058">
    <cfRule type="cellIs" dxfId="3" priority="4" operator="equal">
      <formula>"×"</formula>
    </cfRule>
  </conditionalFormatting>
  <conditionalFormatting sqref="A8057">
    <cfRule type="cellIs" dxfId="2" priority="3" operator="equal">
      <formula>"×"</formula>
    </cfRule>
  </conditionalFormatting>
  <conditionalFormatting sqref="A8056">
    <cfRule type="cellIs" dxfId="1" priority="2" operator="equal">
      <formula>"×"</formula>
    </cfRule>
  </conditionalFormatting>
  <conditionalFormatting sqref="A8055">
    <cfRule type="cellIs" dxfId="0" priority="1" operator="equal">
      <formula>"×"</formula>
    </cfRule>
  </conditionalFormatting>
  <pageMargins left="0.23622047244094491" right="0.23622047244094491" top="0.74803149606299213" bottom="0.74803149606299213" header="0.31496062992125984" footer="0.31496062992125984"/>
  <pageSetup paperSize="8" scale="9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55" r:id="rId4" name="Button 59">
              <controlPr defaultSize="0" print="0" autoFill="0" autoPict="0" macro="[0]!実行_Click">
                <anchor moveWithCells="1">
                  <from>
                    <xdr:col>3</xdr:col>
                    <xdr:colOff>142875</xdr:colOff>
                    <xdr:row>2</xdr:row>
                    <xdr:rowOff>57150</xdr:rowOff>
                  </from>
                  <to>
                    <xdr:col>3</xdr:col>
                    <xdr:colOff>1238250</xdr:colOff>
                    <xdr:row>4</xdr:row>
                    <xdr:rowOff>0</xdr:rowOff>
                  </to>
                </anchor>
              </controlPr>
            </control>
          </mc:Choice>
        </mc:AlternateContent>
        <mc:AlternateContent xmlns:mc="http://schemas.openxmlformats.org/markup-compatibility/2006">
          <mc:Choice Requires="x14">
            <control shapeId="4156" r:id="rId5" name="Button 60">
              <controlPr defaultSize="0" print="0" autoFill="0" autoPict="0" macro="[0]!来期に移行_Click">
                <anchor moveWithCells="1">
                  <from>
                    <xdr:col>3</xdr:col>
                    <xdr:colOff>1552575</xdr:colOff>
                    <xdr:row>2</xdr:row>
                    <xdr:rowOff>47625</xdr:rowOff>
                  </from>
                  <to>
                    <xdr:col>3</xdr:col>
                    <xdr:colOff>2647950</xdr:colOff>
                    <xdr:row>3</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R233"/>
  <sheetViews>
    <sheetView zoomScale="80" zoomScaleNormal="80" workbookViewId="0">
      <pane xSplit="5" ySplit="3" topLeftCell="P204" activePane="bottomRight" state="frozen"/>
      <selection pane="topRight" activeCell="F1" sqref="F1"/>
      <selection pane="bottomLeft" activeCell="A4" sqref="A4"/>
      <selection pane="bottomRight" activeCell="D45" sqref="D45"/>
    </sheetView>
  </sheetViews>
  <sheetFormatPr defaultColWidth="9" defaultRowHeight="12"/>
  <cols>
    <col min="1" max="1" width="3.125" style="9" customWidth="1"/>
    <col min="2" max="2" width="9" style="9"/>
    <col min="3" max="3" width="16.125" style="9" bestFit="1" customWidth="1"/>
    <col min="4" max="4" width="66.375" style="9" bestFit="1" customWidth="1"/>
    <col min="5" max="5" width="10.25" style="9" customWidth="1"/>
    <col min="6" max="6" width="9.375" style="9" bestFit="1" customWidth="1"/>
    <col min="7" max="13" width="10" style="9" bestFit="1" customWidth="1"/>
    <col min="14" max="16384" width="9" style="9"/>
  </cols>
  <sheetData>
    <row r="1" spans="2:18">
      <c r="J1" s="43"/>
    </row>
    <row r="2" spans="2:18" ht="13.5">
      <c r="B2" s="74" t="s">
        <v>146</v>
      </c>
      <c r="C2" s="74" t="s">
        <v>147</v>
      </c>
      <c r="D2" s="74" t="s">
        <v>132</v>
      </c>
      <c r="E2" s="76" t="s">
        <v>154</v>
      </c>
      <c r="F2" s="78" t="s">
        <v>134</v>
      </c>
      <c r="G2" s="79"/>
      <c r="H2" s="79"/>
      <c r="I2" s="79"/>
      <c r="J2" s="79"/>
      <c r="K2" s="79"/>
      <c r="L2" s="79"/>
      <c r="M2" s="79"/>
      <c r="N2" s="79"/>
      <c r="O2" s="79"/>
      <c r="P2" s="79"/>
      <c r="Q2" s="79"/>
      <c r="R2" s="80"/>
    </row>
    <row r="3" spans="2:18">
      <c r="B3" s="75"/>
      <c r="C3" s="75"/>
      <c r="D3" s="75"/>
      <c r="E3" s="77"/>
      <c r="F3" s="16">
        <v>4</v>
      </c>
      <c r="G3" s="16">
        <v>5</v>
      </c>
      <c r="H3" s="16">
        <v>6</v>
      </c>
      <c r="I3" s="16">
        <v>7</v>
      </c>
      <c r="J3" s="16">
        <v>8</v>
      </c>
      <c r="K3" s="16">
        <v>9</v>
      </c>
      <c r="L3" s="16">
        <v>10</v>
      </c>
      <c r="M3" s="16">
        <v>11</v>
      </c>
      <c r="N3" s="16">
        <v>12</v>
      </c>
      <c r="O3" s="16">
        <v>1</v>
      </c>
      <c r="P3" s="16">
        <v>2</v>
      </c>
      <c r="Q3" s="16">
        <v>3</v>
      </c>
      <c r="R3" s="16" t="s">
        <v>376</v>
      </c>
    </row>
    <row r="4" spans="2:18">
      <c r="B4" s="11">
        <v>1</v>
      </c>
      <c r="C4" s="11"/>
      <c r="D4" s="11" t="s">
        <v>14</v>
      </c>
      <c r="E4" s="22"/>
      <c r="F4" s="39" t="e">
        <f>SUM(開発費用集計!#REF!:開発費用集計!#REF!)</f>
        <v>#REF!</v>
      </c>
      <c r="G4" s="39"/>
      <c r="H4" s="39"/>
      <c r="I4" s="39"/>
      <c r="J4" s="39"/>
      <c r="K4" s="39"/>
      <c r="L4" s="39"/>
      <c r="M4" s="39"/>
      <c r="N4" s="39"/>
      <c r="O4" s="39"/>
      <c r="P4" s="39"/>
      <c r="Q4" s="39"/>
      <c r="R4" s="12" t="e">
        <f>SUM(F4:L4)</f>
        <v>#REF!</v>
      </c>
    </row>
    <row r="5" spans="2:18">
      <c r="B5" s="10">
        <v>2</v>
      </c>
      <c r="C5" s="10"/>
      <c r="D5" s="10" t="s">
        <v>15</v>
      </c>
      <c r="E5" s="10"/>
      <c r="F5" s="39" t="e">
        <f>SUM(開発費用集計!#REF!:開発費用集計!#REF!)</f>
        <v>#REF!</v>
      </c>
      <c r="G5" s="39"/>
      <c r="H5" s="39"/>
      <c r="I5" s="39"/>
      <c r="J5" s="39"/>
      <c r="K5" s="39"/>
      <c r="L5" s="39"/>
      <c r="M5" s="39"/>
      <c r="N5" s="39"/>
      <c r="O5" s="39"/>
      <c r="P5" s="39"/>
      <c r="Q5" s="39"/>
      <c r="R5" s="13" t="e">
        <f>SUM(F5:L5)</f>
        <v>#REF!</v>
      </c>
    </row>
    <row r="6" spans="2:18">
      <c r="B6" s="10">
        <v>3</v>
      </c>
      <c r="C6" s="10"/>
      <c r="D6" s="10" t="s">
        <v>16</v>
      </c>
      <c r="E6" s="10"/>
      <c r="F6" s="39" t="e">
        <f>SUM(開発費用集計!#REF!:開発費用集計!#REF!)</f>
        <v>#REF!</v>
      </c>
      <c r="G6" s="39"/>
      <c r="H6" s="39"/>
      <c r="I6" s="39"/>
      <c r="J6" s="39"/>
      <c r="K6" s="39"/>
      <c r="L6" s="39"/>
      <c r="M6" s="39"/>
      <c r="N6" s="39"/>
      <c r="O6" s="39"/>
      <c r="P6" s="39"/>
      <c r="Q6" s="39"/>
      <c r="R6" s="13" t="e">
        <f t="shared" ref="R6:R69" si="0">SUM(F6:L6)</f>
        <v>#REF!</v>
      </c>
    </row>
    <row r="7" spans="2:18">
      <c r="B7" s="10">
        <v>4</v>
      </c>
      <c r="C7" s="10"/>
      <c r="D7" s="10" t="s">
        <v>22</v>
      </c>
      <c r="E7" s="10"/>
      <c r="F7" s="39" t="e">
        <f>SUM(開発費用集計!#REF!:開発費用集計!#REF!)</f>
        <v>#REF!</v>
      </c>
      <c r="G7" s="39"/>
      <c r="H7" s="39"/>
      <c r="I7" s="39"/>
      <c r="J7" s="39"/>
      <c r="K7" s="39"/>
      <c r="L7" s="39"/>
      <c r="M7" s="39"/>
      <c r="N7" s="39"/>
      <c r="O7" s="39"/>
      <c r="P7" s="39"/>
      <c r="Q7" s="39"/>
      <c r="R7" s="13" t="e">
        <f t="shared" si="0"/>
        <v>#REF!</v>
      </c>
    </row>
    <row r="8" spans="2:18">
      <c r="B8" s="10">
        <v>5</v>
      </c>
      <c r="C8" s="10"/>
      <c r="D8" s="10" t="s">
        <v>17</v>
      </c>
      <c r="E8" s="10"/>
      <c r="F8" s="39" t="e">
        <f>SUM(開発費用集計!#REF!:開発費用集計!#REF!)</f>
        <v>#REF!</v>
      </c>
      <c r="G8" s="39"/>
      <c r="H8" s="39"/>
      <c r="I8" s="39"/>
      <c r="J8" s="39"/>
      <c r="K8" s="39"/>
      <c r="L8" s="39"/>
      <c r="M8" s="39"/>
      <c r="N8" s="39"/>
      <c r="O8" s="39"/>
      <c r="P8" s="39"/>
      <c r="Q8" s="39"/>
      <c r="R8" s="13" t="e">
        <f t="shared" si="0"/>
        <v>#REF!</v>
      </c>
    </row>
    <row r="9" spans="2:18">
      <c r="B9" s="10">
        <v>6</v>
      </c>
      <c r="C9" s="10"/>
      <c r="D9" s="10" t="s">
        <v>21</v>
      </c>
      <c r="E9" s="10"/>
      <c r="F9" s="39" t="e">
        <f>SUM(開発費用集計!#REF!:開発費用集計!#REF!)</f>
        <v>#REF!</v>
      </c>
      <c r="G9" s="39"/>
      <c r="H9" s="39"/>
      <c r="I9" s="39"/>
      <c r="J9" s="39"/>
      <c r="K9" s="39"/>
      <c r="L9" s="39"/>
      <c r="M9" s="39"/>
      <c r="N9" s="39"/>
      <c r="O9" s="39"/>
      <c r="P9" s="39"/>
      <c r="Q9" s="39"/>
      <c r="R9" s="13" t="e">
        <f t="shared" si="0"/>
        <v>#REF!</v>
      </c>
    </row>
    <row r="10" spans="2:18">
      <c r="B10" s="10">
        <v>7</v>
      </c>
      <c r="C10" s="10">
        <v>11</v>
      </c>
      <c r="D10" s="10" t="s">
        <v>30</v>
      </c>
      <c r="E10" s="10"/>
      <c r="F10" s="39" t="e">
        <f>SUM(開発費用集計!#REF!:開発費用集計!#REF!)</f>
        <v>#REF!</v>
      </c>
      <c r="G10" s="39"/>
      <c r="H10" s="39"/>
      <c r="I10" s="39"/>
      <c r="J10" s="39"/>
      <c r="K10" s="39"/>
      <c r="L10" s="39"/>
      <c r="M10" s="39"/>
      <c r="N10" s="39"/>
      <c r="O10" s="39"/>
      <c r="P10" s="39"/>
      <c r="Q10" s="39"/>
      <c r="R10" s="13" t="e">
        <f t="shared" si="0"/>
        <v>#REF!</v>
      </c>
    </row>
    <row r="11" spans="2:18">
      <c r="B11" s="10">
        <v>8</v>
      </c>
      <c r="C11" s="10">
        <v>20</v>
      </c>
      <c r="D11" s="10" t="s">
        <v>31</v>
      </c>
      <c r="E11" s="10"/>
      <c r="F11" s="39" t="e">
        <f>SUM(開発費用集計!#REF!:開発費用集計!#REF!)</f>
        <v>#REF!</v>
      </c>
      <c r="G11" s="39"/>
      <c r="H11" s="39"/>
      <c r="I11" s="39"/>
      <c r="J11" s="39"/>
      <c r="K11" s="39"/>
      <c r="L11" s="39"/>
      <c r="M11" s="39"/>
      <c r="N11" s="39"/>
      <c r="O11" s="39"/>
      <c r="P11" s="39"/>
      <c r="Q11" s="39"/>
      <c r="R11" s="13" t="e">
        <f t="shared" si="0"/>
        <v>#REF!</v>
      </c>
    </row>
    <row r="12" spans="2:18">
      <c r="B12" s="10">
        <v>9</v>
      </c>
      <c r="C12" s="10">
        <v>23</v>
      </c>
      <c r="D12" s="10" t="s">
        <v>32</v>
      </c>
      <c r="E12" s="10"/>
      <c r="F12" s="39" t="e">
        <f>SUM(開発費用集計!#REF!:開発費用集計!#REF!)</f>
        <v>#REF!</v>
      </c>
      <c r="G12" s="39"/>
      <c r="H12" s="39"/>
      <c r="I12" s="39"/>
      <c r="J12" s="39"/>
      <c r="K12" s="39"/>
      <c r="L12" s="39"/>
      <c r="M12" s="39"/>
      <c r="N12" s="39"/>
      <c r="O12" s="39"/>
      <c r="P12" s="39"/>
      <c r="Q12" s="39"/>
      <c r="R12" s="13" t="e">
        <f t="shared" si="0"/>
        <v>#REF!</v>
      </c>
    </row>
    <row r="13" spans="2:18">
      <c r="B13" s="10">
        <v>10</v>
      </c>
      <c r="C13" s="10">
        <v>28</v>
      </c>
      <c r="D13" s="10" t="s">
        <v>33</v>
      </c>
      <c r="E13" s="10"/>
      <c r="F13" s="39" t="e">
        <f>SUM(開発費用集計!#REF!:開発費用集計!#REF!)</f>
        <v>#REF!</v>
      </c>
      <c r="G13" s="39"/>
      <c r="H13" s="39"/>
      <c r="I13" s="39"/>
      <c r="J13" s="39"/>
      <c r="K13" s="39"/>
      <c r="L13" s="39"/>
      <c r="M13" s="39"/>
      <c r="N13" s="39"/>
      <c r="O13" s="39"/>
      <c r="P13" s="39"/>
      <c r="Q13" s="39"/>
      <c r="R13" s="13" t="e">
        <f t="shared" si="0"/>
        <v>#REF!</v>
      </c>
    </row>
    <row r="14" spans="2:18">
      <c r="B14" s="10">
        <v>11</v>
      </c>
      <c r="C14" s="10" t="s">
        <v>34</v>
      </c>
      <c r="D14" s="10" t="s">
        <v>35</v>
      </c>
      <c r="E14" s="10" t="s">
        <v>157</v>
      </c>
      <c r="F14" s="39" t="e">
        <f>SUM(開発費用集計!#REF!:開発費用集計!#REF!)</f>
        <v>#REF!</v>
      </c>
      <c r="G14" s="39"/>
      <c r="H14" s="39"/>
      <c r="I14" s="39"/>
      <c r="J14" s="39"/>
      <c r="K14" s="39"/>
      <c r="L14" s="39"/>
      <c r="M14" s="39"/>
      <c r="N14" s="39"/>
      <c r="O14" s="39"/>
      <c r="P14" s="39"/>
      <c r="Q14" s="39"/>
      <c r="R14" s="13" t="e">
        <f t="shared" si="0"/>
        <v>#REF!</v>
      </c>
    </row>
    <row r="15" spans="2:18">
      <c r="B15" s="10">
        <v>12</v>
      </c>
      <c r="C15" s="10" t="s">
        <v>36</v>
      </c>
      <c r="D15" s="10" t="s">
        <v>37</v>
      </c>
      <c r="E15" s="10" t="s">
        <v>157</v>
      </c>
      <c r="F15" s="39" t="e">
        <f>SUM(開発費用集計!#REF!:開発費用集計!#REF!)</f>
        <v>#REF!</v>
      </c>
      <c r="G15" s="39"/>
      <c r="H15" s="39"/>
      <c r="I15" s="39"/>
      <c r="J15" s="39"/>
      <c r="K15" s="39"/>
      <c r="L15" s="39"/>
      <c r="M15" s="39"/>
      <c r="N15" s="39"/>
      <c r="O15" s="39"/>
      <c r="P15" s="39"/>
      <c r="Q15" s="39"/>
      <c r="R15" s="13" t="e">
        <f t="shared" si="0"/>
        <v>#REF!</v>
      </c>
    </row>
    <row r="16" spans="2:18">
      <c r="B16" s="10">
        <v>13</v>
      </c>
      <c r="C16" s="10" t="s">
        <v>450</v>
      </c>
      <c r="D16" s="10" t="s">
        <v>148</v>
      </c>
      <c r="E16" s="10" t="s">
        <v>155</v>
      </c>
      <c r="F16" s="39" t="e">
        <f>SUM(開発費用集計!#REF!:開発費用集計!#REF!)</f>
        <v>#REF!</v>
      </c>
      <c r="G16" s="39"/>
      <c r="H16" s="39"/>
      <c r="I16" s="39"/>
      <c r="J16" s="39"/>
      <c r="K16" s="39"/>
      <c r="L16" s="39"/>
      <c r="M16" s="39"/>
      <c r="N16" s="39"/>
      <c r="O16" s="39"/>
      <c r="P16" s="39"/>
      <c r="Q16" s="39"/>
      <c r="R16" s="13" t="e">
        <f t="shared" si="0"/>
        <v>#REF!</v>
      </c>
    </row>
    <row r="17" spans="2:18">
      <c r="B17" s="10">
        <v>14</v>
      </c>
      <c r="C17" s="10" t="s">
        <v>449</v>
      </c>
      <c r="D17" s="10" t="s">
        <v>149</v>
      </c>
      <c r="E17" s="10" t="s">
        <v>155</v>
      </c>
      <c r="F17" s="39" t="e">
        <f>SUM(開発費用集計!#REF!:開発費用集計!#REF!)</f>
        <v>#REF!</v>
      </c>
      <c r="G17" s="39"/>
      <c r="H17" s="39"/>
      <c r="I17" s="39"/>
      <c r="J17" s="39"/>
      <c r="K17" s="39"/>
      <c r="L17" s="39"/>
      <c r="M17" s="39"/>
      <c r="N17" s="39"/>
      <c r="O17" s="39"/>
      <c r="P17" s="39"/>
      <c r="Q17" s="39"/>
      <c r="R17" s="13" t="e">
        <f t="shared" si="0"/>
        <v>#REF!</v>
      </c>
    </row>
    <row r="18" spans="2:18">
      <c r="B18" s="10">
        <v>15</v>
      </c>
      <c r="C18" s="10"/>
      <c r="D18" s="10" t="s">
        <v>18</v>
      </c>
      <c r="E18" s="10" t="s">
        <v>157</v>
      </c>
      <c r="F18" s="39" t="e">
        <f>SUM(開発費用集計!#REF!:開発費用集計!#REF!)</f>
        <v>#REF!</v>
      </c>
      <c r="G18" s="39"/>
      <c r="H18" s="39"/>
      <c r="I18" s="39"/>
      <c r="J18" s="39"/>
      <c r="K18" s="39"/>
      <c r="L18" s="39"/>
      <c r="M18" s="39"/>
      <c r="N18" s="39"/>
      <c r="O18" s="39"/>
      <c r="P18" s="39"/>
      <c r="Q18" s="39"/>
      <c r="R18" s="13" t="e">
        <f t="shared" si="0"/>
        <v>#REF!</v>
      </c>
    </row>
    <row r="19" spans="2:18">
      <c r="B19" s="10">
        <v>16</v>
      </c>
      <c r="C19" s="10" t="s">
        <v>451</v>
      </c>
      <c r="D19" s="10" t="s">
        <v>38</v>
      </c>
      <c r="E19" s="10" t="s">
        <v>155</v>
      </c>
      <c r="F19" s="39" t="e">
        <f>SUM(開発費用集計!#REF!:開発費用集計!#REF!)</f>
        <v>#REF!</v>
      </c>
      <c r="G19" s="39"/>
      <c r="H19" s="39"/>
      <c r="I19" s="39"/>
      <c r="J19" s="39"/>
      <c r="K19" s="39"/>
      <c r="L19" s="39"/>
      <c r="M19" s="39"/>
      <c r="N19" s="39"/>
      <c r="O19" s="39"/>
      <c r="P19" s="39"/>
      <c r="Q19" s="39"/>
      <c r="R19" s="13" t="e">
        <f t="shared" si="0"/>
        <v>#REF!</v>
      </c>
    </row>
    <row r="20" spans="2:18">
      <c r="B20" s="10">
        <v>17</v>
      </c>
      <c r="C20" s="10" t="s">
        <v>452</v>
      </c>
      <c r="D20" s="10" t="s">
        <v>39</v>
      </c>
      <c r="E20" s="10" t="s">
        <v>155</v>
      </c>
      <c r="F20" s="39" t="e">
        <f>SUM(開発費用集計!#REF!:開発費用集計!#REF!)</f>
        <v>#REF!</v>
      </c>
      <c r="G20" s="39"/>
      <c r="H20" s="39"/>
      <c r="I20" s="39"/>
      <c r="J20" s="39"/>
      <c r="K20" s="39"/>
      <c r="L20" s="39"/>
      <c r="M20" s="39"/>
      <c r="N20" s="39"/>
      <c r="O20" s="39"/>
      <c r="P20" s="39"/>
      <c r="Q20" s="39"/>
      <c r="R20" s="13" t="e">
        <f t="shared" si="0"/>
        <v>#REF!</v>
      </c>
    </row>
    <row r="21" spans="2:18">
      <c r="B21" s="10">
        <v>18</v>
      </c>
      <c r="C21" s="10" t="s">
        <v>453</v>
      </c>
      <c r="D21" s="10" t="s">
        <v>40</v>
      </c>
      <c r="E21" s="10" t="s">
        <v>157</v>
      </c>
      <c r="F21" s="39" t="e">
        <f>SUM(開発費用集計!#REF!:開発費用集計!#REF!)</f>
        <v>#REF!</v>
      </c>
      <c r="G21" s="39"/>
      <c r="H21" s="39"/>
      <c r="I21" s="39"/>
      <c r="J21" s="39"/>
      <c r="K21" s="39"/>
      <c r="L21" s="39"/>
      <c r="M21" s="39"/>
      <c r="N21" s="39"/>
      <c r="O21" s="39"/>
      <c r="P21" s="39"/>
      <c r="Q21" s="39"/>
      <c r="R21" s="13" t="e">
        <f t="shared" si="0"/>
        <v>#REF!</v>
      </c>
    </row>
    <row r="22" spans="2:18">
      <c r="B22" s="10">
        <v>19</v>
      </c>
      <c r="C22" s="10" t="s">
        <v>454</v>
      </c>
      <c r="D22" s="10" t="s">
        <v>41</v>
      </c>
      <c r="E22" s="10" t="s">
        <v>155</v>
      </c>
      <c r="F22" s="39" t="e">
        <f>SUM(開発費用集計!#REF!:開発費用集計!#REF!)</f>
        <v>#REF!</v>
      </c>
      <c r="G22" s="39"/>
      <c r="H22" s="39"/>
      <c r="I22" s="39"/>
      <c r="J22" s="39"/>
      <c r="K22" s="39"/>
      <c r="L22" s="39"/>
      <c r="M22" s="39"/>
      <c r="N22" s="39"/>
      <c r="O22" s="39"/>
      <c r="P22" s="39"/>
      <c r="Q22" s="39"/>
      <c r="R22" s="13" t="e">
        <f t="shared" si="0"/>
        <v>#REF!</v>
      </c>
    </row>
    <row r="23" spans="2:18">
      <c r="B23" s="10">
        <v>20</v>
      </c>
      <c r="C23" s="10" t="s">
        <v>455</v>
      </c>
      <c r="D23" s="10" t="s">
        <v>42</v>
      </c>
      <c r="E23" s="10" t="s">
        <v>157</v>
      </c>
      <c r="F23" s="39" t="e">
        <f>SUM(開発費用集計!#REF!:開発費用集計!#REF!)</f>
        <v>#REF!</v>
      </c>
      <c r="G23" s="39"/>
      <c r="H23" s="39"/>
      <c r="I23" s="39"/>
      <c r="J23" s="39"/>
      <c r="K23" s="39"/>
      <c r="L23" s="39"/>
      <c r="M23" s="39"/>
      <c r="N23" s="39"/>
      <c r="O23" s="39"/>
      <c r="P23" s="39"/>
      <c r="Q23" s="39"/>
      <c r="R23" s="13" t="e">
        <f t="shared" si="0"/>
        <v>#REF!</v>
      </c>
    </row>
    <row r="24" spans="2:18">
      <c r="B24" s="10">
        <v>21</v>
      </c>
      <c r="C24" s="10" t="s">
        <v>456</v>
      </c>
      <c r="D24" s="10" t="s">
        <v>43</v>
      </c>
      <c r="E24" s="10" t="s">
        <v>155</v>
      </c>
      <c r="F24" s="39" t="e">
        <f>SUM(開発費用集計!#REF!:開発費用集計!#REF!)</f>
        <v>#REF!</v>
      </c>
      <c r="G24" s="39"/>
      <c r="H24" s="39"/>
      <c r="I24" s="39"/>
      <c r="J24" s="39"/>
      <c r="K24" s="39"/>
      <c r="L24" s="39"/>
      <c r="M24" s="39"/>
      <c r="N24" s="39"/>
      <c r="O24" s="39"/>
      <c r="P24" s="39"/>
      <c r="Q24" s="39"/>
      <c r="R24" s="13" t="e">
        <f t="shared" si="0"/>
        <v>#REF!</v>
      </c>
    </row>
    <row r="25" spans="2:18">
      <c r="B25" s="10">
        <v>22</v>
      </c>
      <c r="C25" s="10" t="s">
        <v>457</v>
      </c>
      <c r="D25" s="10" t="s">
        <v>44</v>
      </c>
      <c r="E25" s="10" t="s">
        <v>157</v>
      </c>
      <c r="F25" s="39" t="e">
        <f>SUM(開発費用集計!#REF!:開発費用集計!#REF!)</f>
        <v>#REF!</v>
      </c>
      <c r="G25" s="39"/>
      <c r="H25" s="39"/>
      <c r="I25" s="39"/>
      <c r="J25" s="39"/>
      <c r="K25" s="39"/>
      <c r="L25" s="39"/>
      <c r="M25" s="39"/>
      <c r="N25" s="39"/>
      <c r="O25" s="39"/>
      <c r="P25" s="39"/>
      <c r="Q25" s="39"/>
      <c r="R25" s="13" t="e">
        <f t="shared" si="0"/>
        <v>#REF!</v>
      </c>
    </row>
    <row r="26" spans="2:18">
      <c r="B26" s="10">
        <v>23</v>
      </c>
      <c r="C26" s="10"/>
      <c r="D26" s="10" t="s">
        <v>19</v>
      </c>
      <c r="E26" s="10" t="s">
        <v>157</v>
      </c>
      <c r="F26" s="39" t="e">
        <f>SUM(開発費用集計!#REF!:開発費用集計!#REF!)</f>
        <v>#REF!</v>
      </c>
      <c r="G26" s="39"/>
      <c r="H26" s="39"/>
      <c r="I26" s="39"/>
      <c r="J26" s="39"/>
      <c r="K26" s="39"/>
      <c r="L26" s="39"/>
      <c r="M26" s="39"/>
      <c r="N26" s="39"/>
      <c r="O26" s="39"/>
      <c r="P26" s="39"/>
      <c r="Q26" s="39"/>
      <c r="R26" s="13" t="e">
        <f t="shared" si="0"/>
        <v>#REF!</v>
      </c>
    </row>
    <row r="27" spans="2:18">
      <c r="B27" s="10">
        <v>24</v>
      </c>
      <c r="C27" s="10" t="s">
        <v>458</v>
      </c>
      <c r="D27" s="10" t="s">
        <v>45</v>
      </c>
      <c r="E27" s="10" t="s">
        <v>155</v>
      </c>
      <c r="F27" s="39" t="e">
        <f>SUM(開発費用集計!#REF!:開発費用集計!#REF!)</f>
        <v>#REF!</v>
      </c>
      <c r="G27" s="39"/>
      <c r="H27" s="39"/>
      <c r="I27" s="39"/>
      <c r="J27" s="39"/>
      <c r="K27" s="39"/>
      <c r="L27" s="39"/>
      <c r="M27" s="39"/>
      <c r="N27" s="39"/>
      <c r="O27" s="39"/>
      <c r="P27" s="39"/>
      <c r="Q27" s="39"/>
      <c r="R27" s="13" t="e">
        <f t="shared" si="0"/>
        <v>#REF!</v>
      </c>
    </row>
    <row r="28" spans="2:18">
      <c r="B28" s="10">
        <v>25</v>
      </c>
      <c r="C28" s="10" t="s">
        <v>459</v>
      </c>
      <c r="D28" s="10" t="s">
        <v>46</v>
      </c>
      <c r="E28" s="10" t="s">
        <v>155</v>
      </c>
      <c r="F28" s="39" t="e">
        <f>SUM(開発費用集計!#REF!:開発費用集計!#REF!)</f>
        <v>#REF!</v>
      </c>
      <c r="G28" s="39"/>
      <c r="H28" s="39"/>
      <c r="I28" s="39"/>
      <c r="J28" s="39"/>
      <c r="K28" s="39"/>
      <c r="L28" s="39"/>
      <c r="M28" s="39"/>
      <c r="N28" s="39"/>
      <c r="O28" s="39"/>
      <c r="P28" s="39"/>
      <c r="Q28" s="39"/>
      <c r="R28" s="13" t="e">
        <f t="shared" si="0"/>
        <v>#REF!</v>
      </c>
    </row>
    <row r="29" spans="2:18">
      <c r="B29" s="10">
        <v>26</v>
      </c>
      <c r="C29" s="10" t="s">
        <v>460</v>
      </c>
      <c r="D29" s="10" t="s">
        <v>47</v>
      </c>
      <c r="E29" s="10" t="s">
        <v>157</v>
      </c>
      <c r="F29" s="39" t="e">
        <f>SUM(開発費用集計!#REF!:開発費用集計!#REF!)</f>
        <v>#REF!</v>
      </c>
      <c r="G29" s="39"/>
      <c r="H29" s="39"/>
      <c r="I29" s="39"/>
      <c r="J29" s="39"/>
      <c r="K29" s="39"/>
      <c r="L29" s="39"/>
      <c r="M29" s="39"/>
      <c r="N29" s="39"/>
      <c r="O29" s="39"/>
      <c r="P29" s="39"/>
      <c r="Q29" s="39"/>
      <c r="R29" s="13" t="e">
        <f t="shared" si="0"/>
        <v>#REF!</v>
      </c>
    </row>
    <row r="30" spans="2:18">
      <c r="B30" s="10">
        <v>27</v>
      </c>
      <c r="C30" s="10" t="s">
        <v>461</v>
      </c>
      <c r="D30" s="10" t="s">
        <v>48</v>
      </c>
      <c r="E30" s="10" t="s">
        <v>155</v>
      </c>
      <c r="F30" s="39" t="e">
        <f>SUM(開発費用集計!#REF!:開発費用集計!#REF!)</f>
        <v>#REF!</v>
      </c>
      <c r="G30" s="39"/>
      <c r="H30" s="39"/>
      <c r="I30" s="39"/>
      <c r="J30" s="39"/>
      <c r="K30" s="39"/>
      <c r="L30" s="39"/>
      <c r="M30" s="39"/>
      <c r="N30" s="39"/>
      <c r="O30" s="39"/>
      <c r="P30" s="39"/>
      <c r="Q30" s="39"/>
      <c r="R30" s="13" t="e">
        <f t="shared" si="0"/>
        <v>#REF!</v>
      </c>
    </row>
    <row r="31" spans="2:18">
      <c r="B31" s="10">
        <v>28</v>
      </c>
      <c r="C31" s="10" t="s">
        <v>462</v>
      </c>
      <c r="D31" s="10" t="s">
        <v>49</v>
      </c>
      <c r="E31" s="10" t="s">
        <v>155</v>
      </c>
      <c r="F31" s="39" t="e">
        <f>SUM(開発費用集計!#REF!:開発費用集計!#REF!)</f>
        <v>#REF!</v>
      </c>
      <c r="G31" s="39"/>
      <c r="H31" s="39"/>
      <c r="I31" s="39"/>
      <c r="J31" s="39"/>
      <c r="K31" s="39"/>
      <c r="L31" s="39"/>
      <c r="M31" s="39"/>
      <c r="N31" s="39"/>
      <c r="O31" s="39"/>
      <c r="P31" s="39"/>
      <c r="Q31" s="39"/>
      <c r="R31" s="13" t="e">
        <f t="shared" si="0"/>
        <v>#REF!</v>
      </c>
    </row>
    <row r="32" spans="2:18">
      <c r="B32" s="10">
        <v>29</v>
      </c>
      <c r="C32" s="10" t="s">
        <v>445</v>
      </c>
      <c r="D32" s="10" t="s">
        <v>50</v>
      </c>
      <c r="E32" s="10" t="s">
        <v>155</v>
      </c>
      <c r="F32" s="39" t="e">
        <f>SUM(開発費用集計!#REF!:開発費用集計!#REF!)</f>
        <v>#REF!</v>
      </c>
      <c r="G32" s="39"/>
      <c r="H32" s="39"/>
      <c r="I32" s="39"/>
      <c r="J32" s="39"/>
      <c r="K32" s="39"/>
      <c r="L32" s="39"/>
      <c r="M32" s="39"/>
      <c r="N32" s="39"/>
      <c r="O32" s="39"/>
      <c r="P32" s="39"/>
      <c r="Q32" s="39"/>
      <c r="R32" s="13" t="e">
        <f t="shared" si="0"/>
        <v>#REF!</v>
      </c>
    </row>
    <row r="33" spans="2:18">
      <c r="B33" s="10">
        <v>30</v>
      </c>
      <c r="C33" s="10" t="s">
        <v>446</v>
      </c>
      <c r="D33" s="10" t="s">
        <v>51</v>
      </c>
      <c r="E33" s="10" t="s">
        <v>157</v>
      </c>
      <c r="F33" s="39" t="e">
        <f>SUM(開発費用集計!#REF!:開発費用集計!#REF!)</f>
        <v>#REF!</v>
      </c>
      <c r="G33" s="39"/>
      <c r="H33" s="39"/>
      <c r="I33" s="39"/>
      <c r="J33" s="39"/>
      <c r="K33" s="39"/>
      <c r="L33" s="39"/>
      <c r="M33" s="39"/>
      <c r="N33" s="39"/>
      <c r="O33" s="39"/>
      <c r="P33" s="39"/>
      <c r="Q33" s="39"/>
      <c r="R33" s="13" t="e">
        <f t="shared" si="0"/>
        <v>#REF!</v>
      </c>
    </row>
    <row r="34" spans="2:18">
      <c r="B34" s="10">
        <v>31</v>
      </c>
      <c r="C34" s="10" t="s">
        <v>52</v>
      </c>
      <c r="D34" s="10" t="s">
        <v>53</v>
      </c>
      <c r="E34" s="10" t="s">
        <v>155</v>
      </c>
      <c r="F34" s="39" t="e">
        <f>SUM(開発費用集計!#REF!:開発費用集計!#REF!)</f>
        <v>#REF!</v>
      </c>
      <c r="G34" s="39"/>
      <c r="H34" s="39"/>
      <c r="I34" s="39"/>
      <c r="J34" s="39"/>
      <c r="K34" s="39"/>
      <c r="L34" s="39"/>
      <c r="M34" s="39"/>
      <c r="N34" s="39"/>
      <c r="O34" s="39"/>
      <c r="P34" s="39"/>
      <c r="Q34" s="39"/>
      <c r="R34" s="13" t="e">
        <f t="shared" si="0"/>
        <v>#REF!</v>
      </c>
    </row>
    <row r="35" spans="2:18">
      <c r="B35" s="10">
        <v>32</v>
      </c>
      <c r="C35" s="10" t="s">
        <v>54</v>
      </c>
      <c r="D35" s="10" t="s">
        <v>55</v>
      </c>
      <c r="E35" s="10" t="s">
        <v>155</v>
      </c>
      <c r="F35" s="39" t="e">
        <f>SUM(開発費用集計!#REF!:開発費用集計!#REF!)</f>
        <v>#REF!</v>
      </c>
      <c r="G35" s="39"/>
      <c r="H35" s="39"/>
      <c r="I35" s="39"/>
      <c r="J35" s="39"/>
      <c r="K35" s="39"/>
      <c r="L35" s="39"/>
      <c r="M35" s="39"/>
      <c r="N35" s="39"/>
      <c r="O35" s="39"/>
      <c r="P35" s="39"/>
      <c r="Q35" s="39"/>
      <c r="R35" s="13" t="e">
        <f t="shared" si="0"/>
        <v>#REF!</v>
      </c>
    </row>
    <row r="36" spans="2:18">
      <c r="B36" s="10">
        <v>33</v>
      </c>
      <c r="C36" s="10" t="s">
        <v>447</v>
      </c>
      <c r="D36" s="10" t="s">
        <v>56</v>
      </c>
      <c r="E36" s="10" t="s">
        <v>155</v>
      </c>
      <c r="F36" s="39" t="e">
        <f>SUM(開発費用集計!#REF!:開発費用集計!#REF!)</f>
        <v>#REF!</v>
      </c>
      <c r="G36" s="39"/>
      <c r="H36" s="39"/>
      <c r="I36" s="39"/>
      <c r="J36" s="39"/>
      <c r="K36" s="39"/>
      <c r="L36" s="39"/>
      <c r="M36" s="39"/>
      <c r="N36" s="39"/>
      <c r="O36" s="39"/>
      <c r="P36" s="39"/>
      <c r="Q36" s="39"/>
      <c r="R36" s="13" t="e">
        <f t="shared" si="0"/>
        <v>#REF!</v>
      </c>
    </row>
    <row r="37" spans="2:18">
      <c r="B37" s="10">
        <v>34</v>
      </c>
      <c r="C37" s="10" t="s">
        <v>448</v>
      </c>
      <c r="D37" s="10" t="s">
        <v>57</v>
      </c>
      <c r="E37" s="10" t="s">
        <v>155</v>
      </c>
      <c r="F37" s="39" t="e">
        <f>SUM(開発費用集計!#REF!:開発費用集計!#REF!)</f>
        <v>#REF!</v>
      </c>
      <c r="G37" s="39"/>
      <c r="H37" s="39"/>
      <c r="I37" s="39"/>
      <c r="J37" s="39"/>
      <c r="K37" s="39"/>
      <c r="L37" s="39"/>
      <c r="M37" s="39"/>
      <c r="N37" s="39"/>
      <c r="O37" s="39"/>
      <c r="P37" s="39"/>
      <c r="Q37" s="39"/>
      <c r="R37" s="13" t="e">
        <f t="shared" si="0"/>
        <v>#REF!</v>
      </c>
    </row>
    <row r="38" spans="2:18">
      <c r="B38" s="10">
        <v>35</v>
      </c>
      <c r="C38" s="10" t="s">
        <v>58</v>
      </c>
      <c r="D38" s="10" t="s">
        <v>59</v>
      </c>
      <c r="E38" s="10" t="s">
        <v>155</v>
      </c>
      <c r="F38" s="39" t="e">
        <f>SUM(開発費用集計!#REF!:開発費用集計!#REF!)</f>
        <v>#REF!</v>
      </c>
      <c r="G38" s="39"/>
      <c r="H38" s="39"/>
      <c r="I38" s="39"/>
      <c r="J38" s="39"/>
      <c r="K38" s="39"/>
      <c r="L38" s="39"/>
      <c r="M38" s="39"/>
      <c r="N38" s="39"/>
      <c r="O38" s="39"/>
      <c r="P38" s="39"/>
      <c r="Q38" s="39"/>
      <c r="R38" s="13" t="e">
        <f t="shared" si="0"/>
        <v>#REF!</v>
      </c>
    </row>
    <row r="39" spans="2:18">
      <c r="B39" s="10">
        <v>36</v>
      </c>
      <c r="C39" s="10" t="s">
        <v>60</v>
      </c>
      <c r="D39" s="10" t="s">
        <v>61</v>
      </c>
      <c r="E39" s="10" t="s">
        <v>156</v>
      </c>
      <c r="F39" s="39" t="e">
        <f>SUM(開発費用集計!#REF!:開発費用集計!#REF!)</f>
        <v>#REF!</v>
      </c>
      <c r="G39" s="39"/>
      <c r="H39" s="39"/>
      <c r="I39" s="39"/>
      <c r="J39" s="39"/>
      <c r="K39" s="39"/>
      <c r="L39" s="39"/>
      <c r="M39" s="39"/>
      <c r="N39" s="39"/>
      <c r="O39" s="39"/>
      <c r="P39" s="39"/>
      <c r="Q39" s="39"/>
      <c r="R39" s="13" t="e">
        <f t="shared" si="0"/>
        <v>#REF!</v>
      </c>
    </row>
    <row r="40" spans="2:18">
      <c r="B40" s="10">
        <v>37</v>
      </c>
      <c r="C40" s="10" t="s">
        <v>463</v>
      </c>
      <c r="D40" s="10" t="s">
        <v>62</v>
      </c>
      <c r="E40" s="10" t="s">
        <v>157</v>
      </c>
      <c r="F40" s="39" t="e">
        <f>SUM(開発費用集計!#REF!:開発費用集計!#REF!)</f>
        <v>#REF!</v>
      </c>
      <c r="G40" s="39"/>
      <c r="H40" s="39"/>
      <c r="I40" s="39"/>
      <c r="J40" s="39"/>
      <c r="K40" s="39"/>
      <c r="L40" s="39"/>
      <c r="M40" s="39"/>
      <c r="N40" s="39"/>
      <c r="O40" s="39"/>
      <c r="P40" s="39"/>
      <c r="Q40" s="39"/>
      <c r="R40" s="13" t="e">
        <f t="shared" si="0"/>
        <v>#REF!</v>
      </c>
    </row>
    <row r="41" spans="2:18">
      <c r="B41" s="10">
        <v>38</v>
      </c>
      <c r="C41" s="10" t="s">
        <v>464</v>
      </c>
      <c r="D41" s="10" t="s">
        <v>63</v>
      </c>
      <c r="E41" s="10" t="s">
        <v>157</v>
      </c>
      <c r="F41" s="39" t="e">
        <f>SUM(開発費用集計!#REF!:開発費用集計!#REF!)</f>
        <v>#REF!</v>
      </c>
      <c r="G41" s="39"/>
      <c r="H41" s="39"/>
      <c r="I41" s="39"/>
      <c r="J41" s="39"/>
      <c r="K41" s="39"/>
      <c r="L41" s="39"/>
      <c r="M41" s="39"/>
      <c r="N41" s="39"/>
      <c r="O41" s="39"/>
      <c r="P41" s="39"/>
      <c r="Q41" s="39"/>
      <c r="R41" s="13" t="e">
        <f t="shared" si="0"/>
        <v>#REF!</v>
      </c>
    </row>
    <row r="42" spans="2:18">
      <c r="B42" s="10">
        <v>39</v>
      </c>
      <c r="C42" s="10" t="s">
        <v>465</v>
      </c>
      <c r="D42" s="10" t="s">
        <v>64</v>
      </c>
      <c r="E42" s="10" t="s">
        <v>157</v>
      </c>
      <c r="F42" s="39" t="e">
        <f>SUM(開発費用集計!#REF!:開発費用集計!#REF!)</f>
        <v>#REF!</v>
      </c>
      <c r="G42" s="39"/>
      <c r="H42" s="39"/>
      <c r="I42" s="39"/>
      <c r="J42" s="39"/>
      <c r="K42" s="39"/>
      <c r="L42" s="39"/>
      <c r="M42" s="39"/>
      <c r="N42" s="39"/>
      <c r="O42" s="39"/>
      <c r="P42" s="39"/>
      <c r="Q42" s="39"/>
      <c r="R42" s="13" t="e">
        <f t="shared" si="0"/>
        <v>#REF!</v>
      </c>
    </row>
    <row r="43" spans="2:18">
      <c r="B43" s="10">
        <v>40</v>
      </c>
      <c r="C43" s="10" t="s">
        <v>466</v>
      </c>
      <c r="D43" s="10" t="s">
        <v>65</v>
      </c>
      <c r="E43" s="10" t="s">
        <v>155</v>
      </c>
      <c r="F43" s="39" t="e">
        <f>SUM(開発費用集計!#REF!:開発費用集計!#REF!)</f>
        <v>#REF!</v>
      </c>
      <c r="G43" s="39"/>
      <c r="H43" s="39"/>
      <c r="I43" s="39"/>
      <c r="J43" s="39"/>
      <c r="K43" s="39"/>
      <c r="L43" s="39"/>
      <c r="M43" s="39"/>
      <c r="N43" s="39"/>
      <c r="O43" s="39"/>
      <c r="P43" s="39"/>
      <c r="Q43" s="39"/>
      <c r="R43" s="13" t="e">
        <f t="shared" si="0"/>
        <v>#REF!</v>
      </c>
    </row>
    <row r="44" spans="2:18">
      <c r="B44" s="10">
        <v>41</v>
      </c>
      <c r="C44" s="10"/>
      <c r="D44" s="10" t="s">
        <v>20</v>
      </c>
      <c r="E44" s="10" t="s">
        <v>157</v>
      </c>
      <c r="F44" s="39" t="e">
        <f>SUM(開発費用集計!#REF!:開発費用集計!#REF!)</f>
        <v>#REF!</v>
      </c>
      <c r="G44" s="39"/>
      <c r="H44" s="39"/>
      <c r="I44" s="39"/>
      <c r="J44" s="39"/>
      <c r="K44" s="39"/>
      <c r="L44" s="39"/>
      <c r="M44" s="39"/>
      <c r="N44" s="39"/>
      <c r="O44" s="39"/>
      <c r="P44" s="39"/>
      <c r="Q44" s="39"/>
      <c r="R44" s="13" t="e">
        <f t="shared" si="0"/>
        <v>#REF!</v>
      </c>
    </row>
    <row r="45" spans="2:18">
      <c r="B45" s="10">
        <v>42</v>
      </c>
      <c r="C45" s="10" t="s">
        <v>467</v>
      </c>
      <c r="D45" s="10" t="s">
        <v>66</v>
      </c>
      <c r="E45" s="10" t="s">
        <v>155</v>
      </c>
      <c r="F45" s="39" t="e">
        <f>SUM(開発費用集計!#REF!:開発費用集計!#REF!)</f>
        <v>#REF!</v>
      </c>
      <c r="G45" s="39"/>
      <c r="H45" s="39"/>
      <c r="I45" s="39"/>
      <c r="J45" s="39"/>
      <c r="K45" s="39"/>
      <c r="L45" s="39"/>
      <c r="M45" s="39"/>
      <c r="N45" s="39"/>
      <c r="O45" s="39"/>
      <c r="P45" s="39"/>
      <c r="Q45" s="39"/>
      <c r="R45" s="13" t="e">
        <f t="shared" si="0"/>
        <v>#REF!</v>
      </c>
    </row>
    <row r="46" spans="2:18">
      <c r="B46" s="10">
        <v>43</v>
      </c>
      <c r="C46" s="10" t="s">
        <v>67</v>
      </c>
      <c r="D46" s="10" t="s">
        <v>68</v>
      </c>
      <c r="E46" s="10" t="s">
        <v>155</v>
      </c>
      <c r="F46" s="39" t="e">
        <f>SUM(開発費用集計!#REF!:開発費用集計!#REF!)</f>
        <v>#REF!</v>
      </c>
      <c r="G46" s="39"/>
      <c r="H46" s="39"/>
      <c r="I46" s="39"/>
      <c r="J46" s="39"/>
      <c r="K46" s="39"/>
      <c r="L46" s="39"/>
      <c r="M46" s="39"/>
      <c r="N46" s="39"/>
      <c r="O46" s="39"/>
      <c r="P46" s="39"/>
      <c r="Q46" s="39"/>
      <c r="R46" s="13" t="e">
        <f t="shared" si="0"/>
        <v>#REF!</v>
      </c>
    </row>
    <row r="47" spans="2:18">
      <c r="B47" s="10">
        <v>44</v>
      </c>
      <c r="C47" s="10" t="s">
        <v>69</v>
      </c>
      <c r="D47" s="10" t="s">
        <v>70</v>
      </c>
      <c r="E47" s="10" t="s">
        <v>155</v>
      </c>
      <c r="F47" s="39" t="e">
        <f>SUM(開発費用集計!#REF!:開発費用集計!#REF!)</f>
        <v>#REF!</v>
      </c>
      <c r="G47" s="39"/>
      <c r="H47" s="39"/>
      <c r="I47" s="39"/>
      <c r="J47" s="39"/>
      <c r="K47" s="39"/>
      <c r="L47" s="39"/>
      <c r="M47" s="39"/>
      <c r="N47" s="39"/>
      <c r="O47" s="39"/>
      <c r="P47" s="39"/>
      <c r="Q47" s="39"/>
      <c r="R47" s="13" t="e">
        <f t="shared" si="0"/>
        <v>#REF!</v>
      </c>
    </row>
    <row r="48" spans="2:18">
      <c r="B48" s="10">
        <v>45</v>
      </c>
      <c r="C48" s="10" t="s">
        <v>71</v>
      </c>
      <c r="D48" s="10" t="s">
        <v>72</v>
      </c>
      <c r="E48" s="10" t="s">
        <v>155</v>
      </c>
      <c r="F48" s="39" t="e">
        <f>SUM(開発費用集計!#REF!:開発費用集計!#REF!)</f>
        <v>#REF!</v>
      </c>
      <c r="G48" s="39"/>
      <c r="H48" s="39"/>
      <c r="I48" s="39"/>
      <c r="J48" s="39"/>
      <c r="K48" s="39"/>
      <c r="L48" s="39"/>
      <c r="M48" s="39"/>
      <c r="N48" s="39"/>
      <c r="O48" s="39"/>
      <c r="P48" s="39"/>
      <c r="Q48" s="39"/>
      <c r="R48" s="13" t="e">
        <f t="shared" si="0"/>
        <v>#REF!</v>
      </c>
    </row>
    <row r="49" spans="2:18">
      <c r="B49" s="10">
        <v>46</v>
      </c>
      <c r="C49" s="10" t="s">
        <v>73</v>
      </c>
      <c r="D49" s="10" t="s">
        <v>74</v>
      </c>
      <c r="E49" s="10" t="s">
        <v>155</v>
      </c>
      <c r="F49" s="39" t="e">
        <f>SUM(開発費用集計!#REF!:開発費用集計!#REF!)</f>
        <v>#REF!</v>
      </c>
      <c r="G49" s="39"/>
      <c r="H49" s="39"/>
      <c r="I49" s="39"/>
      <c r="J49" s="39"/>
      <c r="K49" s="39"/>
      <c r="L49" s="39"/>
      <c r="M49" s="39"/>
      <c r="N49" s="39"/>
      <c r="O49" s="39"/>
      <c r="P49" s="39"/>
      <c r="Q49" s="39"/>
      <c r="R49" s="13" t="e">
        <f t="shared" si="0"/>
        <v>#REF!</v>
      </c>
    </row>
    <row r="50" spans="2:18">
      <c r="B50" s="10">
        <v>47</v>
      </c>
      <c r="C50" s="10" t="s">
        <v>468</v>
      </c>
      <c r="D50" s="10" t="s">
        <v>75</v>
      </c>
      <c r="E50" s="10" t="s">
        <v>157</v>
      </c>
      <c r="F50" s="39" t="e">
        <f>SUM(開発費用集計!#REF!:開発費用集計!#REF!)</f>
        <v>#REF!</v>
      </c>
      <c r="G50" s="39"/>
      <c r="H50" s="39"/>
      <c r="I50" s="39"/>
      <c r="J50" s="39"/>
      <c r="K50" s="39"/>
      <c r="L50" s="39"/>
      <c r="M50" s="39"/>
      <c r="N50" s="39"/>
      <c r="O50" s="39"/>
      <c r="P50" s="39"/>
      <c r="Q50" s="39"/>
      <c r="R50" s="13" t="e">
        <f t="shared" si="0"/>
        <v>#REF!</v>
      </c>
    </row>
    <row r="51" spans="2:18">
      <c r="B51" s="10">
        <v>48</v>
      </c>
      <c r="C51" s="10" t="s">
        <v>104</v>
      </c>
      <c r="D51" s="10" t="s">
        <v>105</v>
      </c>
      <c r="E51" s="10" t="s">
        <v>157</v>
      </c>
      <c r="F51" s="39" t="e">
        <f>SUM(開発費用集計!#REF!:開発費用集計!#REF!)</f>
        <v>#REF!</v>
      </c>
      <c r="G51" s="39"/>
      <c r="H51" s="39"/>
      <c r="I51" s="39"/>
      <c r="J51" s="39"/>
      <c r="K51" s="39"/>
      <c r="L51" s="39"/>
      <c r="M51" s="39"/>
      <c r="N51" s="39"/>
      <c r="O51" s="39"/>
      <c r="P51" s="39"/>
      <c r="Q51" s="39"/>
      <c r="R51" s="13" t="e">
        <f t="shared" si="0"/>
        <v>#REF!</v>
      </c>
    </row>
    <row r="52" spans="2:18">
      <c r="B52" s="10">
        <v>49</v>
      </c>
      <c r="C52" s="10" t="s">
        <v>469</v>
      </c>
      <c r="D52" s="10" t="s">
        <v>76</v>
      </c>
      <c r="E52" s="10" t="s">
        <v>155</v>
      </c>
      <c r="F52" s="39" t="e">
        <f>SUM(開発費用集計!#REF!:開発費用集計!#REF!)</f>
        <v>#REF!</v>
      </c>
      <c r="G52" s="39"/>
      <c r="H52" s="39"/>
      <c r="I52" s="39"/>
      <c r="J52" s="39"/>
      <c r="K52" s="39"/>
      <c r="L52" s="39"/>
      <c r="M52" s="39"/>
      <c r="N52" s="39"/>
      <c r="O52" s="39"/>
      <c r="P52" s="39"/>
      <c r="Q52" s="39"/>
      <c r="R52" s="13" t="e">
        <f t="shared" si="0"/>
        <v>#REF!</v>
      </c>
    </row>
    <row r="53" spans="2:18">
      <c r="B53" s="10">
        <v>50</v>
      </c>
      <c r="C53" s="10" t="s">
        <v>77</v>
      </c>
      <c r="D53" s="10" t="s">
        <v>78</v>
      </c>
      <c r="E53" s="10" t="s">
        <v>157</v>
      </c>
      <c r="F53" s="39" t="e">
        <f>SUM(開発費用集計!#REF!:開発費用集計!#REF!)</f>
        <v>#REF!</v>
      </c>
      <c r="G53" s="39"/>
      <c r="H53" s="39"/>
      <c r="I53" s="39"/>
      <c r="J53" s="39"/>
      <c r="K53" s="39"/>
      <c r="L53" s="39"/>
      <c r="M53" s="39"/>
      <c r="N53" s="39"/>
      <c r="O53" s="39"/>
      <c r="P53" s="39"/>
      <c r="Q53" s="39"/>
      <c r="R53" s="13" t="e">
        <f t="shared" si="0"/>
        <v>#REF!</v>
      </c>
    </row>
    <row r="54" spans="2:18">
      <c r="B54" s="10">
        <v>51</v>
      </c>
      <c r="C54" s="10" t="s">
        <v>470</v>
      </c>
      <c r="D54" s="10" t="s">
        <v>79</v>
      </c>
      <c r="E54" s="10" t="s">
        <v>157</v>
      </c>
      <c r="F54" s="39" t="e">
        <f>SUM(開発費用集計!#REF!:開発費用集計!#REF!)</f>
        <v>#REF!</v>
      </c>
      <c r="G54" s="39"/>
      <c r="H54" s="39"/>
      <c r="I54" s="39"/>
      <c r="J54" s="39"/>
      <c r="K54" s="39"/>
      <c r="L54" s="39"/>
      <c r="M54" s="39"/>
      <c r="N54" s="39"/>
      <c r="O54" s="39"/>
      <c r="P54" s="39"/>
      <c r="Q54" s="39"/>
      <c r="R54" s="13" t="e">
        <f t="shared" si="0"/>
        <v>#REF!</v>
      </c>
    </row>
    <row r="55" spans="2:18">
      <c r="B55" s="10">
        <v>52</v>
      </c>
      <c r="C55" s="10" t="s">
        <v>104</v>
      </c>
      <c r="D55" s="10" t="s">
        <v>106</v>
      </c>
      <c r="E55" s="10" t="s">
        <v>157</v>
      </c>
      <c r="F55" s="39" t="e">
        <f>SUM(開発費用集計!#REF!:開発費用集計!#REF!)</f>
        <v>#REF!</v>
      </c>
      <c r="G55" s="39"/>
      <c r="H55" s="39"/>
      <c r="I55" s="39"/>
      <c r="J55" s="39"/>
      <c r="K55" s="39"/>
      <c r="L55" s="39"/>
      <c r="M55" s="39"/>
      <c r="N55" s="39"/>
      <c r="O55" s="39"/>
      <c r="P55" s="39"/>
      <c r="Q55" s="39"/>
      <c r="R55" s="13" t="e">
        <f t="shared" si="0"/>
        <v>#REF!</v>
      </c>
    </row>
    <row r="56" spans="2:18">
      <c r="B56" s="10">
        <v>53</v>
      </c>
      <c r="C56" s="10" t="s">
        <v>104</v>
      </c>
      <c r="D56" s="10" t="s">
        <v>107</v>
      </c>
      <c r="E56" s="10" t="s">
        <v>157</v>
      </c>
      <c r="F56" s="39" t="e">
        <f>SUM(開発費用集計!#REF!:開発費用集計!#REF!)</f>
        <v>#REF!</v>
      </c>
      <c r="G56" s="39"/>
      <c r="H56" s="39"/>
      <c r="I56" s="39"/>
      <c r="J56" s="39"/>
      <c r="K56" s="39"/>
      <c r="L56" s="39"/>
      <c r="M56" s="39"/>
      <c r="N56" s="39"/>
      <c r="O56" s="39"/>
      <c r="P56" s="39"/>
      <c r="Q56" s="39"/>
      <c r="R56" s="13" t="e">
        <f t="shared" si="0"/>
        <v>#REF!</v>
      </c>
    </row>
    <row r="57" spans="2:18">
      <c r="B57" s="10">
        <v>54</v>
      </c>
      <c r="C57" s="10" t="s">
        <v>471</v>
      </c>
      <c r="D57" s="10" t="s">
        <v>80</v>
      </c>
      <c r="E57" s="10" t="s">
        <v>155</v>
      </c>
      <c r="F57" s="39" t="e">
        <f>SUM(開発費用集計!#REF!:開発費用集計!#REF!)</f>
        <v>#REF!</v>
      </c>
      <c r="G57" s="39"/>
      <c r="H57" s="39"/>
      <c r="I57" s="39"/>
      <c r="J57" s="39"/>
      <c r="K57" s="39"/>
      <c r="L57" s="39"/>
      <c r="M57" s="39"/>
      <c r="N57" s="39"/>
      <c r="O57" s="39"/>
      <c r="P57" s="39"/>
      <c r="Q57" s="39"/>
      <c r="R57" s="13" t="e">
        <f t="shared" si="0"/>
        <v>#REF!</v>
      </c>
    </row>
    <row r="58" spans="2:18">
      <c r="B58" s="10">
        <v>55</v>
      </c>
      <c r="C58" s="10" t="s">
        <v>81</v>
      </c>
      <c r="D58" s="10" t="s">
        <v>82</v>
      </c>
      <c r="E58" s="10" t="s">
        <v>155</v>
      </c>
      <c r="F58" s="39" t="e">
        <f>SUM(開発費用集計!#REF!:開発費用集計!#REF!)</f>
        <v>#REF!</v>
      </c>
      <c r="G58" s="39"/>
      <c r="H58" s="39"/>
      <c r="I58" s="39"/>
      <c r="J58" s="39"/>
      <c r="K58" s="39"/>
      <c r="L58" s="39"/>
      <c r="M58" s="39"/>
      <c r="N58" s="39"/>
      <c r="O58" s="39"/>
      <c r="P58" s="39"/>
      <c r="Q58" s="39"/>
      <c r="R58" s="13" t="e">
        <f t="shared" si="0"/>
        <v>#REF!</v>
      </c>
    </row>
    <row r="59" spans="2:18">
      <c r="B59" s="10">
        <v>56</v>
      </c>
      <c r="C59" s="10" t="s">
        <v>83</v>
      </c>
      <c r="D59" s="10" t="s">
        <v>84</v>
      </c>
      <c r="E59" s="10" t="s">
        <v>155</v>
      </c>
      <c r="F59" s="39" t="e">
        <f>SUM(開発費用集計!#REF!:開発費用集計!#REF!)</f>
        <v>#REF!</v>
      </c>
      <c r="G59" s="39"/>
      <c r="H59" s="39"/>
      <c r="I59" s="39"/>
      <c r="J59" s="39"/>
      <c r="K59" s="39"/>
      <c r="L59" s="39"/>
      <c r="M59" s="39"/>
      <c r="N59" s="39"/>
      <c r="O59" s="39"/>
      <c r="P59" s="39"/>
      <c r="Q59" s="39"/>
      <c r="R59" s="13" t="e">
        <f t="shared" si="0"/>
        <v>#REF!</v>
      </c>
    </row>
    <row r="60" spans="2:18">
      <c r="B60" s="10">
        <v>57</v>
      </c>
      <c r="C60" s="10" t="s">
        <v>472</v>
      </c>
      <c r="D60" s="10" t="s">
        <v>85</v>
      </c>
      <c r="E60" s="10" t="s">
        <v>156</v>
      </c>
      <c r="F60" s="39" t="e">
        <f>SUM(開発費用集計!#REF!:開発費用集計!#REF!)</f>
        <v>#REF!</v>
      </c>
      <c r="G60" s="39"/>
      <c r="H60" s="39"/>
      <c r="I60" s="39"/>
      <c r="J60" s="39"/>
      <c r="K60" s="39"/>
      <c r="L60" s="39"/>
      <c r="M60" s="39"/>
      <c r="N60" s="39"/>
      <c r="O60" s="39"/>
      <c r="P60" s="39"/>
      <c r="Q60" s="39"/>
      <c r="R60" s="13" t="e">
        <f t="shared" si="0"/>
        <v>#REF!</v>
      </c>
    </row>
    <row r="61" spans="2:18">
      <c r="B61" s="10">
        <v>58</v>
      </c>
      <c r="C61" s="10" t="s">
        <v>86</v>
      </c>
      <c r="D61" s="10" t="s">
        <v>87</v>
      </c>
      <c r="E61" s="10" t="s">
        <v>155</v>
      </c>
      <c r="F61" s="39" t="e">
        <f>SUM(開発費用集計!#REF!:開発費用集計!#REF!)</f>
        <v>#REF!</v>
      </c>
      <c r="G61" s="39"/>
      <c r="H61" s="39"/>
      <c r="I61" s="39"/>
      <c r="J61" s="39"/>
      <c r="K61" s="39"/>
      <c r="L61" s="39"/>
      <c r="M61" s="39"/>
      <c r="N61" s="39"/>
      <c r="O61" s="39"/>
      <c r="P61" s="39"/>
      <c r="Q61" s="39"/>
      <c r="R61" s="13" t="e">
        <f t="shared" si="0"/>
        <v>#REF!</v>
      </c>
    </row>
    <row r="62" spans="2:18">
      <c r="B62" s="10">
        <v>59</v>
      </c>
      <c r="C62" s="10" t="s">
        <v>473</v>
      </c>
      <c r="D62" s="10" t="s">
        <v>108</v>
      </c>
      <c r="E62" s="10" t="s">
        <v>156</v>
      </c>
      <c r="F62" s="39" t="e">
        <f>SUM(開発費用集計!#REF!:開発費用集計!#REF!)</f>
        <v>#REF!</v>
      </c>
      <c r="G62" s="39"/>
      <c r="H62" s="39"/>
      <c r="I62" s="39"/>
      <c r="J62" s="39"/>
      <c r="K62" s="39"/>
      <c r="L62" s="39"/>
      <c r="M62" s="39"/>
      <c r="N62" s="39"/>
      <c r="O62" s="39"/>
      <c r="P62" s="39"/>
      <c r="Q62" s="39"/>
      <c r="R62" s="13" t="e">
        <f t="shared" si="0"/>
        <v>#REF!</v>
      </c>
    </row>
    <row r="63" spans="2:18">
      <c r="B63" s="10">
        <v>60</v>
      </c>
      <c r="C63" s="10" t="s">
        <v>109</v>
      </c>
      <c r="D63" s="10" t="s">
        <v>110</v>
      </c>
      <c r="E63" s="10" t="s">
        <v>155</v>
      </c>
      <c r="F63" s="39" t="e">
        <f>SUM(開発費用集計!#REF!:開発費用集計!#REF!)</f>
        <v>#REF!</v>
      </c>
      <c r="G63" s="39"/>
      <c r="H63" s="39"/>
      <c r="I63" s="39"/>
      <c r="J63" s="39"/>
      <c r="K63" s="39"/>
      <c r="L63" s="39"/>
      <c r="M63" s="39"/>
      <c r="N63" s="39"/>
      <c r="O63" s="39"/>
      <c r="P63" s="39"/>
      <c r="Q63" s="39"/>
      <c r="R63" s="13" t="e">
        <f t="shared" si="0"/>
        <v>#REF!</v>
      </c>
    </row>
    <row r="64" spans="2:18">
      <c r="B64" s="10">
        <v>61</v>
      </c>
      <c r="C64" s="10" t="s">
        <v>111</v>
      </c>
      <c r="D64" s="10" t="s">
        <v>112</v>
      </c>
      <c r="E64" s="10" t="s">
        <v>155</v>
      </c>
      <c r="F64" s="39" t="e">
        <f>SUM(開発費用集計!#REF!:開発費用集計!#REF!)</f>
        <v>#REF!</v>
      </c>
      <c r="G64" s="39"/>
      <c r="H64" s="39"/>
      <c r="I64" s="39"/>
      <c r="J64" s="39"/>
      <c r="K64" s="39"/>
      <c r="L64" s="39"/>
      <c r="M64" s="39"/>
      <c r="N64" s="39"/>
      <c r="O64" s="39"/>
      <c r="P64" s="39"/>
      <c r="Q64" s="39"/>
      <c r="R64" s="13" t="e">
        <f t="shared" si="0"/>
        <v>#REF!</v>
      </c>
    </row>
    <row r="65" spans="2:18">
      <c r="B65" s="10">
        <v>62</v>
      </c>
      <c r="C65" s="10" t="s">
        <v>113</v>
      </c>
      <c r="D65" s="10" t="s">
        <v>114</v>
      </c>
      <c r="E65" s="10" t="s">
        <v>155</v>
      </c>
      <c r="F65" s="39" t="e">
        <f>SUM(開発費用集計!#REF!:開発費用集計!#REF!)</f>
        <v>#REF!</v>
      </c>
      <c r="G65" s="39"/>
      <c r="H65" s="39"/>
      <c r="I65" s="39"/>
      <c r="J65" s="39"/>
      <c r="K65" s="39"/>
      <c r="L65" s="39"/>
      <c r="M65" s="39"/>
      <c r="N65" s="39"/>
      <c r="O65" s="39"/>
      <c r="P65" s="39"/>
      <c r="Q65" s="39"/>
      <c r="R65" s="13" t="e">
        <f t="shared" si="0"/>
        <v>#REF!</v>
      </c>
    </row>
    <row r="66" spans="2:18">
      <c r="B66" s="10">
        <v>63</v>
      </c>
      <c r="C66" s="10" t="s">
        <v>115</v>
      </c>
      <c r="D66" s="10" t="s">
        <v>116</v>
      </c>
      <c r="E66" s="10" t="s">
        <v>155</v>
      </c>
      <c r="F66" s="39" t="e">
        <f>SUM(開発費用集計!#REF!:開発費用集計!#REF!)</f>
        <v>#REF!</v>
      </c>
      <c r="G66" s="39"/>
      <c r="H66" s="39"/>
      <c r="I66" s="39"/>
      <c r="J66" s="39"/>
      <c r="K66" s="39"/>
      <c r="L66" s="39"/>
      <c r="M66" s="39"/>
      <c r="N66" s="39"/>
      <c r="O66" s="39"/>
      <c r="P66" s="39"/>
      <c r="Q66" s="39"/>
      <c r="R66" s="13" t="e">
        <f t="shared" si="0"/>
        <v>#REF!</v>
      </c>
    </row>
    <row r="67" spans="2:18">
      <c r="B67" s="10">
        <v>64</v>
      </c>
      <c r="C67" s="10" t="s">
        <v>88</v>
      </c>
      <c r="D67" s="10" t="s">
        <v>89</v>
      </c>
      <c r="E67" s="10" t="s">
        <v>155</v>
      </c>
      <c r="F67" s="39" t="e">
        <f>SUM(開発費用集計!#REF!:開発費用集計!#REF!)</f>
        <v>#REF!</v>
      </c>
      <c r="G67" s="39"/>
      <c r="H67" s="39"/>
      <c r="I67" s="39"/>
      <c r="J67" s="39"/>
      <c r="K67" s="39"/>
      <c r="L67" s="39"/>
      <c r="M67" s="39"/>
      <c r="N67" s="39"/>
      <c r="O67" s="39"/>
      <c r="P67" s="39"/>
      <c r="Q67" s="39"/>
      <c r="R67" s="13" t="e">
        <f t="shared" si="0"/>
        <v>#REF!</v>
      </c>
    </row>
    <row r="68" spans="2:18">
      <c r="B68" s="10">
        <v>65</v>
      </c>
      <c r="C68" s="10" t="s">
        <v>117</v>
      </c>
      <c r="D68" s="10" t="s">
        <v>118</v>
      </c>
      <c r="E68" s="10" t="s">
        <v>155</v>
      </c>
      <c r="F68" s="39" t="e">
        <f>SUM(開発費用集計!#REF!:開発費用集計!#REF!)</f>
        <v>#REF!</v>
      </c>
      <c r="G68" s="39"/>
      <c r="H68" s="39"/>
      <c r="I68" s="39"/>
      <c r="J68" s="39"/>
      <c r="K68" s="39"/>
      <c r="L68" s="39"/>
      <c r="M68" s="39"/>
      <c r="N68" s="39"/>
      <c r="O68" s="39"/>
      <c r="P68" s="39"/>
      <c r="Q68" s="39"/>
      <c r="R68" s="13" t="e">
        <f t="shared" si="0"/>
        <v>#REF!</v>
      </c>
    </row>
    <row r="69" spans="2:18">
      <c r="B69" s="10">
        <v>66</v>
      </c>
      <c r="C69" s="10" t="s">
        <v>119</v>
      </c>
      <c r="D69" s="10" t="s">
        <v>160</v>
      </c>
      <c r="E69" s="10" t="s">
        <v>155</v>
      </c>
      <c r="F69" s="39" t="e">
        <f>SUM(開発費用集計!#REF!:開発費用集計!#REF!)</f>
        <v>#REF!</v>
      </c>
      <c r="G69" s="39"/>
      <c r="H69" s="39"/>
      <c r="I69" s="39"/>
      <c r="J69" s="39"/>
      <c r="K69" s="39"/>
      <c r="L69" s="39"/>
      <c r="M69" s="39"/>
      <c r="N69" s="39"/>
      <c r="O69" s="39"/>
      <c r="P69" s="39"/>
      <c r="Q69" s="39"/>
      <c r="R69" s="13" t="e">
        <f t="shared" si="0"/>
        <v>#REF!</v>
      </c>
    </row>
    <row r="70" spans="2:18">
      <c r="B70" s="10">
        <v>67</v>
      </c>
      <c r="C70" s="10" t="s">
        <v>120</v>
      </c>
      <c r="D70" s="10" t="s">
        <v>121</v>
      </c>
      <c r="E70" s="10" t="s">
        <v>155</v>
      </c>
      <c r="F70" s="39" t="e">
        <f>SUM(開発費用集計!#REF!:開発費用集計!#REF!)</f>
        <v>#REF!</v>
      </c>
      <c r="G70" s="39"/>
      <c r="H70" s="39"/>
      <c r="I70" s="39"/>
      <c r="J70" s="39"/>
      <c r="K70" s="39"/>
      <c r="L70" s="39"/>
      <c r="M70" s="39"/>
      <c r="N70" s="39"/>
      <c r="O70" s="39"/>
      <c r="P70" s="39"/>
      <c r="Q70" s="39"/>
      <c r="R70" s="13" t="e">
        <f t="shared" ref="R70:R133" si="1">SUM(F70:L70)</f>
        <v>#REF!</v>
      </c>
    </row>
    <row r="71" spans="2:18">
      <c r="B71" s="10">
        <v>68</v>
      </c>
      <c r="C71" s="10" t="s">
        <v>122</v>
      </c>
      <c r="D71" s="10" t="s">
        <v>123</v>
      </c>
      <c r="E71" s="10" t="s">
        <v>155</v>
      </c>
      <c r="F71" s="39" t="e">
        <f>SUM(開発費用集計!#REF!:開発費用集計!#REF!)</f>
        <v>#REF!</v>
      </c>
      <c r="G71" s="39"/>
      <c r="H71" s="39"/>
      <c r="I71" s="39"/>
      <c r="J71" s="39"/>
      <c r="K71" s="39"/>
      <c r="L71" s="39"/>
      <c r="M71" s="39"/>
      <c r="N71" s="39"/>
      <c r="O71" s="39"/>
      <c r="P71" s="39"/>
      <c r="Q71" s="39"/>
      <c r="R71" s="13" t="e">
        <f t="shared" si="1"/>
        <v>#REF!</v>
      </c>
    </row>
    <row r="72" spans="2:18">
      <c r="B72" s="10">
        <v>69</v>
      </c>
      <c r="C72" s="10" t="s">
        <v>124</v>
      </c>
      <c r="D72" s="10" t="s">
        <v>125</v>
      </c>
      <c r="E72" s="10" t="s">
        <v>155</v>
      </c>
      <c r="F72" s="39" t="e">
        <f>SUM(開発費用集計!#REF!:開発費用集計!#REF!)</f>
        <v>#REF!</v>
      </c>
      <c r="G72" s="39"/>
      <c r="H72" s="39"/>
      <c r="I72" s="39"/>
      <c r="J72" s="39"/>
      <c r="K72" s="39"/>
      <c r="L72" s="39"/>
      <c r="M72" s="39"/>
      <c r="N72" s="39"/>
      <c r="O72" s="39"/>
      <c r="P72" s="39"/>
      <c r="Q72" s="39"/>
      <c r="R72" s="13" t="e">
        <f t="shared" si="1"/>
        <v>#REF!</v>
      </c>
    </row>
    <row r="73" spans="2:18">
      <c r="B73" s="10">
        <v>70</v>
      </c>
      <c r="C73" s="10" t="s">
        <v>126</v>
      </c>
      <c r="D73" s="10" t="s">
        <v>127</v>
      </c>
      <c r="E73" s="10" t="s">
        <v>155</v>
      </c>
      <c r="F73" s="39" t="e">
        <f>SUM(開発費用集計!#REF!:開発費用集計!#REF!)</f>
        <v>#REF!</v>
      </c>
      <c r="G73" s="39"/>
      <c r="H73" s="39"/>
      <c r="I73" s="39"/>
      <c r="J73" s="39"/>
      <c r="K73" s="39"/>
      <c r="L73" s="39"/>
      <c r="M73" s="39"/>
      <c r="N73" s="39"/>
      <c r="O73" s="39"/>
      <c r="P73" s="39"/>
      <c r="Q73" s="39"/>
      <c r="R73" s="13" t="e">
        <f t="shared" si="1"/>
        <v>#REF!</v>
      </c>
    </row>
    <row r="74" spans="2:18">
      <c r="B74" s="10">
        <v>71</v>
      </c>
      <c r="C74" s="10"/>
      <c r="D74" s="10" t="s">
        <v>23</v>
      </c>
      <c r="E74" s="10" t="s">
        <v>156</v>
      </c>
      <c r="F74" s="39" t="e">
        <f>SUM(開発費用集計!#REF!:開発費用集計!#REF!)</f>
        <v>#REF!</v>
      </c>
      <c r="G74" s="39"/>
      <c r="H74" s="39"/>
      <c r="I74" s="39"/>
      <c r="J74" s="39"/>
      <c r="K74" s="39"/>
      <c r="L74" s="39"/>
      <c r="M74" s="39"/>
      <c r="N74" s="39"/>
      <c r="O74" s="39"/>
      <c r="P74" s="39"/>
      <c r="Q74" s="39"/>
      <c r="R74" s="13" t="e">
        <f t="shared" si="1"/>
        <v>#REF!</v>
      </c>
    </row>
    <row r="75" spans="2:18">
      <c r="B75" s="10">
        <v>72</v>
      </c>
      <c r="C75" s="10" t="s">
        <v>90</v>
      </c>
      <c r="D75" s="10" t="s">
        <v>91</v>
      </c>
      <c r="E75" s="10" t="s">
        <v>155</v>
      </c>
      <c r="F75" s="39" t="e">
        <f>SUM(開発費用集計!#REF!:開発費用集計!#REF!)</f>
        <v>#REF!</v>
      </c>
      <c r="G75" s="39"/>
      <c r="H75" s="39"/>
      <c r="I75" s="39"/>
      <c r="J75" s="39"/>
      <c r="K75" s="39"/>
      <c r="L75" s="39"/>
      <c r="M75" s="39"/>
      <c r="N75" s="39"/>
      <c r="O75" s="39"/>
      <c r="P75" s="39"/>
      <c r="Q75" s="39"/>
      <c r="R75" s="13" t="e">
        <f t="shared" si="1"/>
        <v>#REF!</v>
      </c>
    </row>
    <row r="76" spans="2:18">
      <c r="B76" s="10">
        <v>73</v>
      </c>
      <c r="C76" s="10" t="s">
        <v>92</v>
      </c>
      <c r="D76" s="10" t="s">
        <v>93</v>
      </c>
      <c r="E76" s="10" t="s">
        <v>155</v>
      </c>
      <c r="F76" s="39" t="e">
        <f>SUM(開発費用集計!#REF!:開発費用集計!#REF!)</f>
        <v>#REF!</v>
      </c>
      <c r="G76" s="39"/>
      <c r="H76" s="39"/>
      <c r="I76" s="39"/>
      <c r="J76" s="39"/>
      <c r="K76" s="39"/>
      <c r="L76" s="39"/>
      <c r="M76" s="39"/>
      <c r="N76" s="39"/>
      <c r="O76" s="39"/>
      <c r="P76" s="39"/>
      <c r="Q76" s="39"/>
      <c r="R76" s="13" t="e">
        <f t="shared" si="1"/>
        <v>#REF!</v>
      </c>
    </row>
    <row r="77" spans="2:18">
      <c r="B77" s="10">
        <v>74</v>
      </c>
      <c r="C77" s="10" t="s">
        <v>128</v>
      </c>
      <c r="D77" s="10" t="s">
        <v>129</v>
      </c>
      <c r="E77" s="10" t="s">
        <v>155</v>
      </c>
      <c r="F77" s="39" t="e">
        <f>SUM(開発費用集計!#REF!:開発費用集計!#REF!)</f>
        <v>#REF!</v>
      </c>
      <c r="G77" s="39"/>
      <c r="H77" s="39"/>
      <c r="I77" s="39"/>
      <c r="J77" s="39"/>
      <c r="K77" s="39"/>
      <c r="L77" s="39"/>
      <c r="M77" s="39"/>
      <c r="N77" s="39"/>
      <c r="O77" s="39"/>
      <c r="P77" s="39"/>
      <c r="Q77" s="39"/>
      <c r="R77" s="13" t="e">
        <f t="shared" si="1"/>
        <v>#REF!</v>
      </c>
    </row>
    <row r="78" spans="2:18">
      <c r="B78" s="10">
        <v>75</v>
      </c>
      <c r="C78" s="10" t="s">
        <v>130</v>
      </c>
      <c r="D78" s="10" t="s">
        <v>131</v>
      </c>
      <c r="E78" s="10" t="s">
        <v>155</v>
      </c>
      <c r="F78" s="39" t="e">
        <f>SUM(開発費用集計!#REF!:開発費用集計!#REF!)</f>
        <v>#REF!</v>
      </c>
      <c r="G78" s="39"/>
      <c r="H78" s="39"/>
      <c r="I78" s="39"/>
      <c r="J78" s="39"/>
      <c r="K78" s="39"/>
      <c r="L78" s="39"/>
      <c r="M78" s="39"/>
      <c r="N78" s="39"/>
      <c r="O78" s="39"/>
      <c r="P78" s="39"/>
      <c r="Q78" s="39"/>
      <c r="R78" s="13" t="e">
        <f t="shared" si="1"/>
        <v>#REF!</v>
      </c>
    </row>
    <row r="79" spans="2:18">
      <c r="B79" s="10">
        <v>76</v>
      </c>
      <c r="C79" s="10" t="s">
        <v>94</v>
      </c>
      <c r="D79" s="10" t="s">
        <v>95</v>
      </c>
      <c r="E79" s="10" t="s">
        <v>155</v>
      </c>
      <c r="F79" s="39" t="e">
        <f>SUM(開発費用集計!#REF!:開発費用集計!#REF!)</f>
        <v>#REF!</v>
      </c>
      <c r="G79" s="39"/>
      <c r="H79" s="39"/>
      <c r="I79" s="39"/>
      <c r="J79" s="39"/>
      <c r="K79" s="39"/>
      <c r="L79" s="39"/>
      <c r="M79" s="39"/>
      <c r="N79" s="39"/>
      <c r="O79" s="39"/>
      <c r="P79" s="39"/>
      <c r="Q79" s="39"/>
      <c r="R79" s="13" t="e">
        <f t="shared" si="1"/>
        <v>#REF!</v>
      </c>
    </row>
    <row r="80" spans="2:18">
      <c r="B80" s="10">
        <v>77</v>
      </c>
      <c r="C80" s="10" t="s">
        <v>150</v>
      </c>
      <c r="D80" s="10" t="s">
        <v>151</v>
      </c>
      <c r="E80" s="10" t="s">
        <v>155</v>
      </c>
      <c r="F80" s="39" t="e">
        <f>SUM(開発費用集計!#REF!:開発費用集計!#REF!)</f>
        <v>#REF!</v>
      </c>
      <c r="G80" s="39"/>
      <c r="H80" s="39"/>
      <c r="I80" s="39"/>
      <c r="J80" s="39"/>
      <c r="K80" s="39"/>
      <c r="L80" s="39"/>
      <c r="M80" s="39"/>
      <c r="N80" s="39"/>
      <c r="O80" s="39"/>
      <c r="P80" s="39"/>
      <c r="Q80" s="39"/>
      <c r="R80" s="13" t="e">
        <f t="shared" si="1"/>
        <v>#REF!</v>
      </c>
    </row>
    <row r="81" spans="2:18">
      <c r="B81" s="10">
        <v>78</v>
      </c>
      <c r="C81" s="10" t="s">
        <v>96</v>
      </c>
      <c r="D81" s="10" t="s">
        <v>97</v>
      </c>
      <c r="E81" s="10" t="s">
        <v>155</v>
      </c>
      <c r="F81" s="39" t="e">
        <f>SUM(開発費用集計!#REF!:開発費用集計!#REF!)</f>
        <v>#REF!</v>
      </c>
      <c r="G81" s="39"/>
      <c r="H81" s="39"/>
      <c r="I81" s="39"/>
      <c r="J81" s="39"/>
      <c r="K81" s="39"/>
      <c r="L81" s="39"/>
      <c r="M81" s="39"/>
      <c r="N81" s="39"/>
      <c r="O81" s="39"/>
      <c r="P81" s="39"/>
      <c r="Q81" s="39"/>
      <c r="R81" s="13" t="e">
        <f t="shared" si="1"/>
        <v>#REF!</v>
      </c>
    </row>
    <row r="82" spans="2:18">
      <c r="B82" s="10">
        <v>79</v>
      </c>
      <c r="C82" s="10" t="s">
        <v>98</v>
      </c>
      <c r="D82" s="10" t="s">
        <v>99</v>
      </c>
      <c r="E82" s="10" t="s">
        <v>155</v>
      </c>
      <c r="F82" s="39" t="e">
        <f>SUM(開発費用集計!#REF!:開発費用集計!#REF!)</f>
        <v>#REF!</v>
      </c>
      <c r="G82" s="39"/>
      <c r="H82" s="39"/>
      <c r="I82" s="39"/>
      <c r="J82" s="39"/>
      <c r="K82" s="39"/>
      <c r="L82" s="39"/>
      <c r="M82" s="39"/>
      <c r="N82" s="39"/>
      <c r="O82" s="39"/>
      <c r="P82" s="39"/>
      <c r="Q82" s="39"/>
      <c r="R82" s="13" t="e">
        <f t="shared" si="1"/>
        <v>#REF!</v>
      </c>
    </row>
    <row r="83" spans="2:18">
      <c r="B83" s="10">
        <v>80</v>
      </c>
      <c r="C83" s="10" t="s">
        <v>100</v>
      </c>
      <c r="D83" s="10" t="s">
        <v>101</v>
      </c>
      <c r="E83" s="10" t="s">
        <v>155</v>
      </c>
      <c r="F83" s="39" t="e">
        <f>SUM(開発費用集計!#REF!:開発費用集計!#REF!)</f>
        <v>#REF!</v>
      </c>
      <c r="G83" s="39"/>
      <c r="H83" s="39"/>
      <c r="I83" s="39"/>
      <c r="J83" s="39"/>
      <c r="K83" s="39"/>
      <c r="L83" s="39"/>
      <c r="M83" s="39"/>
      <c r="N83" s="39"/>
      <c r="O83" s="39"/>
      <c r="P83" s="39"/>
      <c r="Q83" s="39"/>
      <c r="R83" s="13" t="e">
        <f t="shared" si="1"/>
        <v>#REF!</v>
      </c>
    </row>
    <row r="84" spans="2:18">
      <c r="B84" s="10">
        <v>81</v>
      </c>
      <c r="C84" s="10" t="s">
        <v>158</v>
      </c>
      <c r="D84" s="10" t="s">
        <v>152</v>
      </c>
      <c r="E84" s="10" t="s">
        <v>155</v>
      </c>
      <c r="F84" s="39" t="e">
        <f>SUM(開発費用集計!#REF!:開発費用集計!#REF!)</f>
        <v>#REF!</v>
      </c>
      <c r="G84" s="39"/>
      <c r="H84" s="39"/>
      <c r="I84" s="39"/>
      <c r="J84" s="39"/>
      <c r="K84" s="39"/>
      <c r="L84" s="39"/>
      <c r="M84" s="39"/>
      <c r="N84" s="39"/>
      <c r="O84" s="39"/>
      <c r="P84" s="39"/>
      <c r="Q84" s="39"/>
      <c r="R84" s="13" t="e">
        <f t="shared" si="1"/>
        <v>#REF!</v>
      </c>
    </row>
    <row r="85" spans="2:18">
      <c r="B85" s="17">
        <v>82</v>
      </c>
      <c r="C85" s="17" t="s">
        <v>102</v>
      </c>
      <c r="D85" s="10" t="s">
        <v>103</v>
      </c>
      <c r="E85" s="10" t="s">
        <v>155</v>
      </c>
      <c r="F85" s="39" t="e">
        <f>SUM(開発費用集計!#REF!:開発費用集計!#REF!)</f>
        <v>#REF!</v>
      </c>
      <c r="G85" s="39"/>
      <c r="H85" s="39"/>
      <c r="I85" s="39"/>
      <c r="J85" s="39"/>
      <c r="K85" s="39"/>
      <c r="L85" s="39"/>
      <c r="M85" s="39"/>
      <c r="N85" s="39"/>
      <c r="O85" s="39"/>
      <c r="P85" s="39"/>
      <c r="Q85" s="39"/>
      <c r="R85" s="13" t="e">
        <f t="shared" si="1"/>
        <v>#REF!</v>
      </c>
    </row>
    <row r="86" spans="2:18">
      <c r="B86" s="10">
        <v>83</v>
      </c>
      <c r="C86" s="18" t="s">
        <v>135</v>
      </c>
      <c r="D86" s="19" t="s">
        <v>136</v>
      </c>
      <c r="E86" s="10" t="s">
        <v>155</v>
      </c>
      <c r="F86" s="39" t="e">
        <f>SUM(開発費用集計!#REF!:開発費用集計!#REF!)</f>
        <v>#REF!</v>
      </c>
      <c r="G86" s="39"/>
      <c r="H86" s="39"/>
      <c r="I86" s="39"/>
      <c r="J86" s="39"/>
      <c r="K86" s="39"/>
      <c r="L86" s="39"/>
      <c r="M86" s="39"/>
      <c r="N86" s="39"/>
      <c r="O86" s="39"/>
      <c r="P86" s="39"/>
      <c r="Q86" s="39"/>
      <c r="R86" s="13" t="e">
        <f t="shared" si="1"/>
        <v>#REF!</v>
      </c>
    </row>
    <row r="87" spans="2:18">
      <c r="B87" s="17">
        <v>84</v>
      </c>
      <c r="C87" s="18" t="s">
        <v>137</v>
      </c>
      <c r="D87" s="20" t="s">
        <v>138</v>
      </c>
      <c r="E87" s="10" t="s">
        <v>156</v>
      </c>
      <c r="F87" s="39" t="e">
        <f>SUM(開発費用集計!#REF!:開発費用集計!#REF!)</f>
        <v>#REF!</v>
      </c>
      <c r="G87" s="39"/>
      <c r="H87" s="39"/>
      <c r="I87" s="39"/>
      <c r="J87" s="39"/>
      <c r="K87" s="39"/>
      <c r="L87" s="39"/>
      <c r="M87" s="39"/>
      <c r="N87" s="39"/>
      <c r="O87" s="39"/>
      <c r="P87" s="39"/>
      <c r="Q87" s="39"/>
      <c r="R87" s="13" t="e">
        <f t="shared" si="1"/>
        <v>#REF!</v>
      </c>
    </row>
    <row r="88" spans="2:18">
      <c r="B88" s="10">
        <v>85</v>
      </c>
      <c r="C88" s="19" t="s">
        <v>377</v>
      </c>
      <c r="D88" s="20" t="s">
        <v>378</v>
      </c>
      <c r="E88" s="10" t="s">
        <v>155</v>
      </c>
      <c r="F88" s="39" t="e">
        <f>SUM(開発費用集計!#REF!:開発費用集計!#REF!)</f>
        <v>#REF!</v>
      </c>
      <c r="G88" s="39"/>
      <c r="H88" s="39"/>
      <c r="I88" s="39"/>
      <c r="J88" s="39"/>
      <c r="K88" s="39"/>
      <c r="L88" s="39"/>
      <c r="M88" s="39"/>
      <c r="N88" s="39"/>
      <c r="O88" s="39"/>
      <c r="P88" s="39"/>
      <c r="Q88" s="39"/>
      <c r="R88" s="13" t="e">
        <f t="shared" si="1"/>
        <v>#REF!</v>
      </c>
    </row>
    <row r="89" spans="2:18">
      <c r="B89" s="17">
        <v>86</v>
      </c>
      <c r="C89" s="20" t="s">
        <v>379</v>
      </c>
      <c r="D89" s="20" t="s">
        <v>380</v>
      </c>
      <c r="E89" s="10" t="s">
        <v>155</v>
      </c>
      <c r="F89" s="39" t="e">
        <f>SUM(開発費用集計!#REF!:開発費用集計!#REF!)</f>
        <v>#REF!</v>
      </c>
      <c r="G89" s="39"/>
      <c r="H89" s="39"/>
      <c r="I89" s="39"/>
      <c r="J89" s="39"/>
      <c r="K89" s="39"/>
      <c r="L89" s="39"/>
      <c r="M89" s="39"/>
      <c r="N89" s="39"/>
      <c r="O89" s="39"/>
      <c r="P89" s="39"/>
      <c r="Q89" s="39"/>
      <c r="R89" s="13" t="e">
        <f t="shared" si="1"/>
        <v>#REF!</v>
      </c>
    </row>
    <row r="90" spans="2:18">
      <c r="B90" s="10">
        <v>87</v>
      </c>
      <c r="C90" s="18" t="s">
        <v>139</v>
      </c>
      <c r="D90" s="18" t="s">
        <v>381</v>
      </c>
      <c r="E90" s="10" t="s">
        <v>382</v>
      </c>
      <c r="F90" s="39" t="e">
        <f>SUM(開発費用集計!#REF!:開発費用集計!#REF!)</f>
        <v>#REF!</v>
      </c>
      <c r="G90" s="39"/>
      <c r="H90" s="39"/>
      <c r="I90" s="39"/>
      <c r="J90" s="39"/>
      <c r="K90" s="39"/>
      <c r="L90" s="39"/>
      <c r="M90" s="39"/>
      <c r="N90" s="39"/>
      <c r="O90" s="39"/>
      <c r="P90" s="39"/>
      <c r="Q90" s="39"/>
      <c r="R90" s="13" t="e">
        <f t="shared" si="1"/>
        <v>#REF!</v>
      </c>
    </row>
    <row r="91" spans="2:18">
      <c r="B91" s="17">
        <v>88</v>
      </c>
      <c r="C91" s="19" t="s">
        <v>140</v>
      </c>
      <c r="D91" s="18" t="s">
        <v>383</v>
      </c>
      <c r="E91" s="10" t="s">
        <v>155</v>
      </c>
      <c r="F91" s="39" t="e">
        <f>SUM(開発費用集計!#REF!:開発費用集計!#REF!)</f>
        <v>#REF!</v>
      </c>
      <c r="G91" s="39"/>
      <c r="H91" s="39"/>
      <c r="I91" s="39"/>
      <c r="J91" s="39"/>
      <c r="K91" s="39"/>
      <c r="L91" s="39"/>
      <c r="M91" s="39"/>
      <c r="N91" s="39"/>
      <c r="O91" s="39"/>
      <c r="P91" s="39"/>
      <c r="Q91" s="39"/>
      <c r="R91" s="13" t="e">
        <f t="shared" si="1"/>
        <v>#REF!</v>
      </c>
    </row>
    <row r="92" spans="2:18">
      <c r="B92" s="10">
        <v>89</v>
      </c>
      <c r="C92" s="18" t="s">
        <v>474</v>
      </c>
      <c r="D92" s="19" t="s">
        <v>384</v>
      </c>
      <c r="E92" s="10" t="s">
        <v>155</v>
      </c>
      <c r="F92" s="39" t="e">
        <f>SUM(開発費用集計!#REF!:開発費用集計!#REF!)</f>
        <v>#REF!</v>
      </c>
      <c r="G92" s="39"/>
      <c r="H92" s="39"/>
      <c r="I92" s="39"/>
      <c r="J92" s="39"/>
      <c r="K92" s="39"/>
      <c r="L92" s="39"/>
      <c r="M92" s="39"/>
      <c r="N92" s="39"/>
      <c r="O92" s="39"/>
      <c r="P92" s="39"/>
      <c r="Q92" s="39"/>
      <c r="R92" s="13" t="e">
        <f t="shared" si="1"/>
        <v>#REF!</v>
      </c>
    </row>
    <row r="93" spans="2:18">
      <c r="B93" s="17">
        <v>90</v>
      </c>
      <c r="C93" s="18" t="s">
        <v>141</v>
      </c>
      <c r="D93" s="18" t="s">
        <v>385</v>
      </c>
      <c r="E93" s="10" t="s">
        <v>155</v>
      </c>
      <c r="F93" s="39" t="e">
        <f>SUM(開発費用集計!#REF!:開発費用集計!#REF!)</f>
        <v>#REF!</v>
      </c>
      <c r="G93" s="39"/>
      <c r="H93" s="39"/>
      <c r="I93" s="39"/>
      <c r="J93" s="39"/>
      <c r="K93" s="39"/>
      <c r="L93" s="39"/>
      <c r="M93" s="39"/>
      <c r="N93" s="39"/>
      <c r="O93" s="39"/>
      <c r="P93" s="39"/>
      <c r="Q93" s="39"/>
      <c r="R93" s="13" t="e">
        <f t="shared" si="1"/>
        <v>#REF!</v>
      </c>
    </row>
    <row r="94" spans="2:18">
      <c r="B94" s="10">
        <v>91</v>
      </c>
      <c r="C94" s="18" t="s">
        <v>142</v>
      </c>
      <c r="D94" s="18" t="s">
        <v>386</v>
      </c>
      <c r="E94" s="10" t="s">
        <v>155</v>
      </c>
      <c r="F94" s="39" t="e">
        <f>SUM(開発費用集計!#REF!:開発費用集計!#REF!)</f>
        <v>#REF!</v>
      </c>
      <c r="G94" s="39"/>
      <c r="H94" s="39"/>
      <c r="I94" s="39"/>
      <c r="J94" s="39"/>
      <c r="K94" s="39"/>
      <c r="L94" s="39"/>
      <c r="M94" s="39"/>
      <c r="N94" s="39"/>
      <c r="O94" s="39"/>
      <c r="P94" s="39"/>
      <c r="Q94" s="39"/>
      <c r="R94" s="13" t="e">
        <f t="shared" si="1"/>
        <v>#REF!</v>
      </c>
    </row>
    <row r="95" spans="2:18">
      <c r="B95" s="17">
        <v>92</v>
      </c>
      <c r="C95" s="21" t="s">
        <v>143</v>
      </c>
      <c r="D95" s="18" t="s">
        <v>387</v>
      </c>
      <c r="E95" s="10" t="s">
        <v>155</v>
      </c>
      <c r="F95" s="39" t="e">
        <f>SUM(開発費用集計!#REF!:開発費用集計!#REF!)</f>
        <v>#REF!</v>
      </c>
      <c r="G95" s="39"/>
      <c r="H95" s="39"/>
      <c r="I95" s="39"/>
      <c r="J95" s="39"/>
      <c r="K95" s="39"/>
      <c r="L95" s="39"/>
      <c r="M95" s="39"/>
      <c r="N95" s="39"/>
      <c r="O95" s="39"/>
      <c r="P95" s="39"/>
      <c r="Q95" s="39"/>
      <c r="R95" s="13" t="e">
        <f t="shared" si="1"/>
        <v>#REF!</v>
      </c>
    </row>
    <row r="96" spans="2:18">
      <c r="B96" s="10">
        <v>93</v>
      </c>
      <c r="C96" s="21" t="s">
        <v>144</v>
      </c>
      <c r="D96" s="18" t="s">
        <v>388</v>
      </c>
      <c r="E96" s="10" t="s">
        <v>155</v>
      </c>
      <c r="F96" s="39" t="e">
        <f>SUM(開発費用集計!#REF!:開発費用集計!#REF!)</f>
        <v>#REF!</v>
      </c>
      <c r="G96" s="39"/>
      <c r="H96" s="39"/>
      <c r="I96" s="39"/>
      <c r="J96" s="39"/>
      <c r="K96" s="39"/>
      <c r="L96" s="39"/>
      <c r="M96" s="39"/>
      <c r="N96" s="39"/>
      <c r="O96" s="39"/>
      <c r="P96" s="39"/>
      <c r="Q96" s="39"/>
      <c r="R96" s="13" t="e">
        <f t="shared" si="1"/>
        <v>#REF!</v>
      </c>
    </row>
    <row r="97" spans="2:18">
      <c r="B97" s="10">
        <v>94</v>
      </c>
      <c r="C97" s="18" t="s">
        <v>145</v>
      </c>
      <c r="D97" s="18" t="s">
        <v>389</v>
      </c>
      <c r="E97" s="10" t="s">
        <v>155</v>
      </c>
      <c r="F97" s="39" t="e">
        <f>SUM(開発費用集計!#REF!:開発費用集計!#REF!)</f>
        <v>#REF!</v>
      </c>
      <c r="G97" s="39"/>
      <c r="H97" s="39"/>
      <c r="I97" s="39"/>
      <c r="J97" s="39"/>
      <c r="K97" s="39"/>
      <c r="L97" s="39"/>
      <c r="M97" s="39"/>
      <c r="N97" s="39"/>
      <c r="O97" s="39"/>
      <c r="P97" s="39"/>
      <c r="Q97" s="39"/>
      <c r="R97" s="13" t="e">
        <f t="shared" si="1"/>
        <v>#REF!</v>
      </c>
    </row>
    <row r="98" spans="2:18">
      <c r="B98" s="10">
        <v>95</v>
      </c>
      <c r="C98" s="3" t="s">
        <v>390</v>
      </c>
      <c r="D98" s="4" t="s">
        <v>391</v>
      </c>
      <c r="E98" s="10" t="s">
        <v>155</v>
      </c>
      <c r="F98" s="39" t="e">
        <f>SUM(開発費用集計!#REF!:開発費用集計!#REF!)</f>
        <v>#REF!</v>
      </c>
      <c r="G98" s="39"/>
      <c r="H98" s="39"/>
      <c r="I98" s="39"/>
      <c r="J98" s="39"/>
      <c r="K98" s="39"/>
      <c r="L98" s="39"/>
      <c r="M98" s="39"/>
      <c r="N98" s="39"/>
      <c r="O98" s="39"/>
      <c r="P98" s="39"/>
      <c r="Q98" s="39"/>
      <c r="R98" s="13" t="e">
        <f t="shared" si="1"/>
        <v>#REF!</v>
      </c>
    </row>
    <row r="99" spans="2:18">
      <c r="B99" s="10">
        <v>96</v>
      </c>
      <c r="C99" s="4" t="s">
        <v>392</v>
      </c>
      <c r="D99" s="7" t="s">
        <v>393</v>
      </c>
      <c r="E99" s="10" t="s">
        <v>155</v>
      </c>
      <c r="F99" s="39" t="e">
        <f>SUM(開発費用集計!#REF!:開発費用集計!#REF!)</f>
        <v>#REF!</v>
      </c>
      <c r="G99" s="39"/>
      <c r="H99" s="39"/>
      <c r="I99" s="39"/>
      <c r="J99" s="39"/>
      <c r="K99" s="39"/>
      <c r="L99" s="39"/>
      <c r="M99" s="39"/>
      <c r="N99" s="39"/>
      <c r="O99" s="39"/>
      <c r="P99" s="39"/>
      <c r="Q99" s="39"/>
      <c r="R99" s="13" t="e">
        <f t="shared" si="1"/>
        <v>#REF!</v>
      </c>
    </row>
    <row r="100" spans="2:18">
      <c r="B100" s="10">
        <v>97</v>
      </c>
      <c r="C100" s="7" t="s">
        <v>394</v>
      </c>
      <c r="D100" s="7" t="s">
        <v>395</v>
      </c>
      <c r="E100" s="10" t="s">
        <v>155</v>
      </c>
      <c r="F100" s="39" t="e">
        <f>SUM(開発費用集計!#REF!:開発費用集計!#REF!)</f>
        <v>#REF!</v>
      </c>
      <c r="G100" s="39"/>
      <c r="H100" s="39"/>
      <c r="I100" s="39"/>
      <c r="J100" s="39"/>
      <c r="K100" s="39"/>
      <c r="L100" s="39"/>
      <c r="M100" s="39"/>
      <c r="N100" s="39"/>
      <c r="O100" s="39"/>
      <c r="P100" s="39"/>
      <c r="Q100" s="39"/>
      <c r="R100" s="13" t="e">
        <f t="shared" si="1"/>
        <v>#REF!</v>
      </c>
    </row>
    <row r="101" spans="2:18">
      <c r="B101" s="10">
        <v>98</v>
      </c>
      <c r="C101" s="7" t="s">
        <v>396</v>
      </c>
      <c r="D101" s="3" t="s">
        <v>397</v>
      </c>
      <c r="E101" s="10" t="s">
        <v>155</v>
      </c>
      <c r="F101" s="39" t="e">
        <f>SUM(開発費用集計!#REF!:開発費用集計!#REF!)</f>
        <v>#REF!</v>
      </c>
      <c r="G101" s="39"/>
      <c r="H101" s="39"/>
      <c r="I101" s="39"/>
      <c r="J101" s="39"/>
      <c r="K101" s="39"/>
      <c r="L101" s="39"/>
      <c r="M101" s="39"/>
      <c r="N101" s="39"/>
      <c r="O101" s="39"/>
      <c r="P101" s="39"/>
      <c r="Q101" s="39"/>
      <c r="R101" s="13" t="e">
        <f t="shared" si="1"/>
        <v>#REF!</v>
      </c>
    </row>
    <row r="102" spans="2:18">
      <c r="B102" s="10">
        <v>99</v>
      </c>
      <c r="C102" s="7" t="s">
        <v>398</v>
      </c>
      <c r="D102" s="4" t="s">
        <v>399</v>
      </c>
      <c r="E102" s="10" t="s">
        <v>155</v>
      </c>
      <c r="F102" s="39" t="e">
        <f>SUM(開発費用集計!#REF!:開発費用集計!#REF!)</f>
        <v>#REF!</v>
      </c>
      <c r="G102" s="39"/>
      <c r="H102" s="39"/>
      <c r="I102" s="39"/>
      <c r="J102" s="39"/>
      <c r="K102" s="39"/>
      <c r="L102" s="39"/>
      <c r="M102" s="39"/>
      <c r="N102" s="39"/>
      <c r="O102" s="39"/>
      <c r="P102" s="39"/>
      <c r="Q102" s="39"/>
      <c r="R102" s="13" t="e">
        <f t="shared" si="1"/>
        <v>#REF!</v>
      </c>
    </row>
    <row r="103" spans="2:18">
      <c r="B103" s="10">
        <v>100</v>
      </c>
      <c r="C103" s="7" t="s">
        <v>400</v>
      </c>
      <c r="D103" s="3" t="s">
        <v>401</v>
      </c>
      <c r="E103" s="10" t="s">
        <v>155</v>
      </c>
      <c r="F103" s="39" t="e">
        <f>SUM(開発費用集計!#REF!:開発費用集計!#REF!)</f>
        <v>#REF!</v>
      </c>
      <c r="G103" s="39"/>
      <c r="H103" s="39"/>
      <c r="I103" s="39"/>
      <c r="J103" s="39"/>
      <c r="K103" s="39"/>
      <c r="L103" s="39"/>
      <c r="M103" s="39"/>
      <c r="N103" s="39"/>
      <c r="O103" s="39"/>
      <c r="P103" s="39"/>
      <c r="Q103" s="39"/>
      <c r="R103" s="13" t="e">
        <f t="shared" si="1"/>
        <v>#REF!</v>
      </c>
    </row>
    <row r="104" spans="2:18">
      <c r="B104" s="10">
        <v>101</v>
      </c>
      <c r="C104" s="7" t="s">
        <v>402</v>
      </c>
      <c r="D104" s="4" t="s">
        <v>403</v>
      </c>
      <c r="E104" s="10" t="s">
        <v>155</v>
      </c>
      <c r="F104" s="39" t="e">
        <f>SUM(開発費用集計!#REF!:開発費用集計!#REF!)</f>
        <v>#REF!</v>
      </c>
      <c r="G104" s="39"/>
      <c r="H104" s="39"/>
      <c r="I104" s="39"/>
      <c r="J104" s="39"/>
      <c r="K104" s="39"/>
      <c r="L104" s="39"/>
      <c r="M104" s="39"/>
      <c r="N104" s="39"/>
      <c r="O104" s="39"/>
      <c r="P104" s="39"/>
      <c r="Q104" s="39"/>
      <c r="R104" s="13" t="e">
        <f t="shared" si="1"/>
        <v>#REF!</v>
      </c>
    </row>
    <row r="105" spans="2:18">
      <c r="B105" s="10">
        <v>102</v>
      </c>
      <c r="C105" s="7" t="s">
        <v>404</v>
      </c>
      <c r="D105" s="7" t="s">
        <v>405</v>
      </c>
      <c r="E105" s="10" t="s">
        <v>155</v>
      </c>
      <c r="F105" s="39" t="e">
        <f>SUM(開発費用集計!#REF!:開発費用集計!#REF!)</f>
        <v>#REF!</v>
      </c>
      <c r="G105" s="39"/>
      <c r="H105" s="39"/>
      <c r="I105" s="39"/>
      <c r="J105" s="39"/>
      <c r="K105" s="39"/>
      <c r="L105" s="39"/>
      <c r="M105" s="39"/>
      <c r="N105" s="39"/>
      <c r="O105" s="39"/>
      <c r="P105" s="39"/>
      <c r="Q105" s="39"/>
      <c r="R105" s="13" t="e">
        <f t="shared" si="1"/>
        <v>#REF!</v>
      </c>
    </row>
    <row r="106" spans="2:18">
      <c r="B106" s="10">
        <v>103</v>
      </c>
      <c r="C106" s="4" t="s">
        <v>406</v>
      </c>
      <c r="D106" s="3" t="s">
        <v>407</v>
      </c>
      <c r="E106" s="10" t="s">
        <v>155</v>
      </c>
      <c r="F106" s="39" t="e">
        <f>SUM(開発費用集計!#REF!:開発費用集計!#REF!)</f>
        <v>#REF!</v>
      </c>
      <c r="G106" s="39"/>
      <c r="H106" s="39"/>
      <c r="I106" s="39"/>
      <c r="J106" s="39"/>
      <c r="K106" s="39"/>
      <c r="L106" s="39"/>
      <c r="M106" s="39"/>
      <c r="N106" s="39"/>
      <c r="O106" s="39"/>
      <c r="P106" s="39"/>
      <c r="Q106" s="39"/>
      <c r="R106" s="13" t="e">
        <f t="shared" si="1"/>
        <v>#REF!</v>
      </c>
    </row>
    <row r="107" spans="2:18">
      <c r="B107" s="10">
        <v>104</v>
      </c>
      <c r="C107" s="4" t="s">
        <v>408</v>
      </c>
      <c r="D107" s="3" t="s">
        <v>409</v>
      </c>
      <c r="E107" s="10" t="s">
        <v>155</v>
      </c>
      <c r="F107" s="39" t="e">
        <f>SUM(開発費用集計!#REF!:開発費用集計!#REF!)</f>
        <v>#REF!</v>
      </c>
      <c r="G107" s="39"/>
      <c r="H107" s="39"/>
      <c r="I107" s="39"/>
      <c r="J107" s="39"/>
      <c r="K107" s="39"/>
      <c r="L107" s="39"/>
      <c r="M107" s="39"/>
      <c r="N107" s="39"/>
      <c r="O107" s="39"/>
      <c r="P107" s="39"/>
      <c r="Q107" s="39"/>
      <c r="R107" s="13" t="e">
        <f t="shared" si="1"/>
        <v>#REF!</v>
      </c>
    </row>
    <row r="108" spans="2:18">
      <c r="B108" s="10">
        <v>105</v>
      </c>
      <c r="C108" s="4" t="s">
        <v>410</v>
      </c>
      <c r="D108" s="3" t="s">
        <v>411</v>
      </c>
      <c r="E108" s="10" t="s">
        <v>155</v>
      </c>
      <c r="F108" s="39" t="e">
        <f>SUM(開発費用集計!#REF!:開発費用集計!#REF!)</f>
        <v>#REF!</v>
      </c>
      <c r="G108" s="39"/>
      <c r="H108" s="39"/>
      <c r="I108" s="39"/>
      <c r="J108" s="39"/>
      <c r="K108" s="39"/>
      <c r="L108" s="39"/>
      <c r="M108" s="39"/>
      <c r="N108" s="39"/>
      <c r="O108" s="39"/>
      <c r="P108" s="39"/>
      <c r="Q108" s="39"/>
      <c r="R108" s="13" t="e">
        <f t="shared" si="1"/>
        <v>#REF!</v>
      </c>
    </row>
    <row r="109" spans="2:18">
      <c r="B109" s="10">
        <v>106</v>
      </c>
      <c r="C109" s="7" t="s">
        <v>412</v>
      </c>
      <c r="D109" s="3" t="s">
        <v>413</v>
      </c>
      <c r="E109" s="10" t="s">
        <v>155</v>
      </c>
      <c r="F109" s="39" t="e">
        <f>SUM(開発費用集計!#REF!:開発費用集計!#REF!)</f>
        <v>#REF!</v>
      </c>
      <c r="G109" s="39"/>
      <c r="H109" s="39"/>
      <c r="I109" s="39"/>
      <c r="J109" s="39"/>
      <c r="K109" s="39"/>
      <c r="L109" s="39"/>
      <c r="M109" s="39"/>
      <c r="N109" s="39"/>
      <c r="O109" s="39"/>
      <c r="P109" s="39"/>
      <c r="Q109" s="39"/>
      <c r="R109" s="13" t="e">
        <f t="shared" si="1"/>
        <v>#REF!</v>
      </c>
    </row>
    <row r="110" spans="2:18">
      <c r="B110" s="10">
        <v>107</v>
      </c>
      <c r="C110" s="3" t="s">
        <v>414</v>
      </c>
      <c r="D110" s="3" t="s">
        <v>415</v>
      </c>
      <c r="E110" s="10" t="s">
        <v>155</v>
      </c>
      <c r="F110" s="39" t="e">
        <f>SUM(開発費用集計!#REF!:開発費用集計!#REF!)</f>
        <v>#REF!</v>
      </c>
      <c r="G110" s="39"/>
      <c r="H110" s="39"/>
      <c r="I110" s="39"/>
      <c r="J110" s="39"/>
      <c r="K110" s="39"/>
      <c r="L110" s="39"/>
      <c r="M110" s="39"/>
      <c r="N110" s="39"/>
      <c r="O110" s="39"/>
      <c r="P110" s="39"/>
      <c r="Q110" s="39"/>
      <c r="R110" s="13" t="e">
        <f t="shared" si="1"/>
        <v>#REF!</v>
      </c>
    </row>
    <row r="111" spans="2:18">
      <c r="B111" s="10">
        <v>108</v>
      </c>
      <c r="C111" s="3" t="s">
        <v>161</v>
      </c>
      <c r="D111" s="4" t="s">
        <v>416</v>
      </c>
      <c r="E111" s="10" t="s">
        <v>155</v>
      </c>
      <c r="F111" s="39" t="e">
        <f>SUM(開発費用集計!#REF!:開発費用集計!#REF!)</f>
        <v>#REF!</v>
      </c>
      <c r="G111" s="39"/>
      <c r="H111" s="39"/>
      <c r="I111" s="39"/>
      <c r="J111" s="39"/>
      <c r="K111" s="39"/>
      <c r="L111" s="39"/>
      <c r="M111" s="39"/>
      <c r="N111" s="39"/>
      <c r="O111" s="39"/>
      <c r="P111" s="39"/>
      <c r="Q111" s="39"/>
      <c r="R111" s="13" t="e">
        <f t="shared" si="1"/>
        <v>#REF!</v>
      </c>
    </row>
    <row r="112" spans="2:18">
      <c r="B112" s="10">
        <v>109</v>
      </c>
      <c r="C112" s="4" t="s">
        <v>417</v>
      </c>
      <c r="D112" s="3" t="s">
        <v>418</v>
      </c>
      <c r="E112" s="10" t="s">
        <v>155</v>
      </c>
      <c r="F112" s="39" t="e">
        <f>SUM(開発費用集計!#REF!:開発費用集計!#REF!)</f>
        <v>#REF!</v>
      </c>
      <c r="G112" s="39"/>
      <c r="H112" s="39"/>
      <c r="I112" s="39"/>
      <c r="J112" s="39"/>
      <c r="K112" s="39"/>
      <c r="L112" s="39"/>
      <c r="M112" s="39"/>
      <c r="N112" s="39"/>
      <c r="O112" s="39"/>
      <c r="P112" s="39"/>
      <c r="Q112" s="39"/>
      <c r="R112" s="13" t="e">
        <f t="shared" si="1"/>
        <v>#REF!</v>
      </c>
    </row>
    <row r="113" spans="2:18">
      <c r="B113" s="10">
        <v>110</v>
      </c>
      <c r="C113" s="7" t="s">
        <v>419</v>
      </c>
      <c r="D113" s="3" t="s">
        <v>420</v>
      </c>
      <c r="E113" s="10" t="s">
        <v>155</v>
      </c>
      <c r="F113" s="39" t="e">
        <f>SUM(開発費用集計!#REF!:開発費用集計!#REF!)</f>
        <v>#REF!</v>
      </c>
      <c r="G113" s="39"/>
      <c r="H113" s="39"/>
      <c r="I113" s="39"/>
      <c r="J113" s="39"/>
      <c r="K113" s="39"/>
      <c r="L113" s="39"/>
      <c r="M113" s="39"/>
      <c r="N113" s="39"/>
      <c r="O113" s="39"/>
      <c r="P113" s="39"/>
      <c r="Q113" s="39"/>
      <c r="R113" s="13" t="e">
        <f t="shared" si="1"/>
        <v>#REF!</v>
      </c>
    </row>
    <row r="114" spans="2:18">
      <c r="B114" s="10">
        <v>111</v>
      </c>
      <c r="C114" s="3" t="s">
        <v>421</v>
      </c>
      <c r="D114" s="3" t="s">
        <v>422</v>
      </c>
      <c r="E114" s="10" t="s">
        <v>155</v>
      </c>
      <c r="F114" s="39" t="e">
        <f>SUM(開発費用集計!#REF!:開発費用集計!#REF!)</f>
        <v>#REF!</v>
      </c>
      <c r="G114" s="39"/>
      <c r="H114" s="39"/>
      <c r="I114" s="39"/>
      <c r="J114" s="39"/>
      <c r="K114" s="39"/>
      <c r="L114" s="39"/>
      <c r="M114" s="39"/>
      <c r="N114" s="39"/>
      <c r="O114" s="39"/>
      <c r="P114" s="39"/>
      <c r="Q114" s="39"/>
      <c r="R114" s="13" t="e">
        <f t="shared" si="1"/>
        <v>#REF!</v>
      </c>
    </row>
    <row r="115" spans="2:18">
      <c r="B115" s="10">
        <v>112</v>
      </c>
      <c r="C115" s="3" t="s">
        <v>423</v>
      </c>
      <c r="D115" s="3" t="s">
        <v>424</v>
      </c>
      <c r="E115" s="10" t="s">
        <v>155</v>
      </c>
      <c r="F115" s="39" t="e">
        <f>SUM(開発費用集計!#REF!:開発費用集計!#REF!)</f>
        <v>#REF!</v>
      </c>
      <c r="G115" s="39"/>
      <c r="H115" s="39"/>
      <c r="I115" s="39"/>
      <c r="J115" s="39"/>
      <c r="K115" s="39"/>
      <c r="L115" s="39"/>
      <c r="M115" s="39"/>
      <c r="N115" s="39"/>
      <c r="O115" s="39"/>
      <c r="P115" s="39"/>
      <c r="Q115" s="39"/>
      <c r="R115" s="13" t="e">
        <f t="shared" si="1"/>
        <v>#REF!</v>
      </c>
    </row>
    <row r="116" spans="2:18">
      <c r="B116" s="10">
        <v>113</v>
      </c>
      <c r="C116" s="3" t="s">
        <v>425</v>
      </c>
      <c r="D116" s="3" t="s">
        <v>426</v>
      </c>
      <c r="E116" s="10" t="s">
        <v>155</v>
      </c>
      <c r="F116" s="39" t="e">
        <f>SUM(開発費用集計!#REF!:開発費用集計!#REF!)</f>
        <v>#REF!</v>
      </c>
      <c r="G116" s="39"/>
      <c r="H116" s="39"/>
      <c r="I116" s="39"/>
      <c r="J116" s="39"/>
      <c r="K116" s="39"/>
      <c r="L116" s="39"/>
      <c r="M116" s="39"/>
      <c r="N116" s="39"/>
      <c r="O116" s="39"/>
      <c r="P116" s="39"/>
      <c r="Q116" s="39"/>
      <c r="R116" s="13" t="e">
        <f t="shared" si="1"/>
        <v>#REF!</v>
      </c>
    </row>
    <row r="117" spans="2:18">
      <c r="B117" s="10">
        <v>114</v>
      </c>
      <c r="C117" s="3" t="s">
        <v>427</v>
      </c>
      <c r="D117" s="3" t="s">
        <v>428</v>
      </c>
      <c r="E117" s="10" t="s">
        <v>155</v>
      </c>
      <c r="F117" s="39" t="e">
        <f>SUM(開発費用集計!#REF!:開発費用集計!#REF!)</f>
        <v>#REF!</v>
      </c>
      <c r="G117" s="39"/>
      <c r="H117" s="39"/>
      <c r="I117" s="39"/>
      <c r="J117" s="39"/>
      <c r="K117" s="39"/>
      <c r="L117" s="39"/>
      <c r="M117" s="39"/>
      <c r="N117" s="39"/>
      <c r="O117" s="39"/>
      <c r="P117" s="39"/>
      <c r="Q117" s="39"/>
      <c r="R117" s="13" t="e">
        <f t="shared" si="1"/>
        <v>#REF!</v>
      </c>
    </row>
    <row r="118" spans="2:18">
      <c r="B118" s="10">
        <v>115</v>
      </c>
      <c r="C118" s="4" t="s">
        <v>429</v>
      </c>
      <c r="D118" s="4" t="s">
        <v>430</v>
      </c>
      <c r="E118" s="10" t="s">
        <v>155</v>
      </c>
      <c r="F118" s="39" t="e">
        <f>SUM(開発費用集計!#REF!:開発費用集計!#REF!)</f>
        <v>#REF!</v>
      </c>
      <c r="G118" s="39"/>
      <c r="H118" s="39"/>
      <c r="I118" s="39"/>
      <c r="J118" s="39"/>
      <c r="K118" s="39"/>
      <c r="L118" s="39"/>
      <c r="M118" s="39"/>
      <c r="N118" s="39"/>
      <c r="O118" s="39"/>
      <c r="P118" s="39"/>
      <c r="Q118" s="39"/>
      <c r="R118" s="13" t="e">
        <f t="shared" si="1"/>
        <v>#REF!</v>
      </c>
    </row>
    <row r="119" spans="2:18">
      <c r="B119" s="10">
        <v>116</v>
      </c>
      <c r="C119" s="3" t="s">
        <v>431</v>
      </c>
      <c r="D119" s="7" t="s">
        <v>432</v>
      </c>
      <c r="E119" s="10" t="s">
        <v>155</v>
      </c>
      <c r="F119" s="39" t="e">
        <f>SUM(開発費用集計!#REF!:開発費用集計!#REF!)</f>
        <v>#REF!</v>
      </c>
      <c r="G119" s="39"/>
      <c r="H119" s="39"/>
      <c r="I119" s="39"/>
      <c r="J119" s="39"/>
      <c r="K119" s="39"/>
      <c r="L119" s="39"/>
      <c r="M119" s="39"/>
      <c r="N119" s="39"/>
      <c r="O119" s="39"/>
      <c r="P119" s="39"/>
      <c r="Q119" s="39"/>
      <c r="R119" s="13" t="e">
        <f t="shared" si="1"/>
        <v>#REF!</v>
      </c>
    </row>
    <row r="120" spans="2:18">
      <c r="B120" s="10">
        <v>117</v>
      </c>
      <c r="C120" s="4" t="s">
        <v>433</v>
      </c>
      <c r="D120" s="7" t="s">
        <v>434</v>
      </c>
      <c r="E120" s="10" t="s">
        <v>155</v>
      </c>
      <c r="F120" s="39" t="e">
        <f>SUM(開発費用集計!#REF!:開発費用集計!#REF!)</f>
        <v>#REF!</v>
      </c>
      <c r="G120" s="39"/>
      <c r="H120" s="39"/>
      <c r="I120" s="39"/>
      <c r="J120" s="39"/>
      <c r="K120" s="39"/>
      <c r="L120" s="39"/>
      <c r="M120" s="39"/>
      <c r="N120" s="39"/>
      <c r="O120" s="39"/>
      <c r="P120" s="39"/>
      <c r="Q120" s="39"/>
      <c r="R120" s="13" t="e">
        <f t="shared" si="1"/>
        <v>#REF!</v>
      </c>
    </row>
    <row r="121" spans="2:18">
      <c r="B121" s="17">
        <v>118</v>
      </c>
      <c r="C121" s="7" t="s">
        <v>435</v>
      </c>
      <c r="D121" s="7" t="s">
        <v>436</v>
      </c>
      <c r="E121" s="10" t="s">
        <v>155</v>
      </c>
      <c r="F121" s="39" t="e">
        <f>SUM(開発費用集計!#REF!:開発費用集計!#REF!)</f>
        <v>#REF!</v>
      </c>
      <c r="G121" s="39"/>
      <c r="H121" s="39"/>
      <c r="I121" s="39"/>
      <c r="J121" s="39"/>
      <c r="K121" s="39"/>
      <c r="L121" s="39"/>
      <c r="M121" s="39"/>
      <c r="N121" s="39"/>
      <c r="O121" s="39"/>
      <c r="P121" s="39"/>
      <c r="Q121" s="39"/>
      <c r="R121" s="13" t="e">
        <f t="shared" si="1"/>
        <v>#REF!</v>
      </c>
    </row>
    <row r="122" spans="2:18">
      <c r="B122" s="10">
        <v>119</v>
      </c>
      <c r="C122" s="3" t="s">
        <v>162</v>
      </c>
      <c r="D122" s="7" t="s">
        <v>163</v>
      </c>
      <c r="E122" s="10" t="s">
        <v>155</v>
      </c>
      <c r="F122" s="39" t="e">
        <f>SUM(開発費用集計!#REF!:開発費用集計!#REF!)</f>
        <v>#REF!</v>
      </c>
      <c r="G122" s="39"/>
      <c r="H122" s="39"/>
      <c r="I122" s="39"/>
      <c r="J122" s="39"/>
      <c r="K122" s="39"/>
      <c r="L122" s="39"/>
      <c r="M122" s="39"/>
      <c r="N122" s="39"/>
      <c r="O122" s="39"/>
      <c r="P122" s="39"/>
      <c r="Q122" s="39"/>
      <c r="R122" s="13" t="e">
        <f t="shared" si="1"/>
        <v>#REF!</v>
      </c>
    </row>
    <row r="123" spans="2:18">
      <c r="B123" s="17">
        <v>120</v>
      </c>
      <c r="C123" s="3" t="s">
        <v>164</v>
      </c>
      <c r="D123" s="7" t="s">
        <v>165</v>
      </c>
      <c r="E123" s="10" t="s">
        <v>155</v>
      </c>
      <c r="F123" s="39" t="e">
        <f>SUM(開発費用集計!#REF!:開発費用集計!#REF!)</f>
        <v>#REF!</v>
      </c>
      <c r="G123" s="39"/>
      <c r="H123" s="39"/>
      <c r="I123" s="39"/>
      <c r="J123" s="39"/>
      <c r="K123" s="39"/>
      <c r="L123" s="39"/>
      <c r="M123" s="39"/>
      <c r="N123" s="39"/>
      <c r="O123" s="39"/>
      <c r="P123" s="39"/>
      <c r="Q123" s="39"/>
      <c r="R123" s="13" t="e">
        <f t="shared" si="1"/>
        <v>#REF!</v>
      </c>
    </row>
    <row r="124" spans="2:18">
      <c r="B124" s="10">
        <v>121</v>
      </c>
      <c r="C124" s="3" t="s">
        <v>166</v>
      </c>
      <c r="D124" s="7" t="s">
        <v>167</v>
      </c>
      <c r="E124" s="10" t="s">
        <v>155</v>
      </c>
      <c r="F124" s="39" t="e">
        <f>SUM(開発費用集計!#REF!:開発費用集計!#REF!)</f>
        <v>#REF!</v>
      </c>
      <c r="G124" s="39"/>
      <c r="H124" s="39"/>
      <c r="I124" s="39"/>
      <c r="J124" s="39"/>
      <c r="K124" s="39"/>
      <c r="L124" s="39"/>
      <c r="M124" s="39"/>
      <c r="N124" s="39"/>
      <c r="O124" s="39"/>
      <c r="P124" s="39"/>
      <c r="Q124" s="39"/>
      <c r="R124" s="13" t="e">
        <f t="shared" si="1"/>
        <v>#REF!</v>
      </c>
    </row>
    <row r="125" spans="2:18">
      <c r="B125" s="17">
        <v>122</v>
      </c>
      <c r="C125" s="3" t="s">
        <v>168</v>
      </c>
      <c r="D125" s="7" t="s">
        <v>169</v>
      </c>
      <c r="E125" s="10" t="s">
        <v>155</v>
      </c>
      <c r="F125" s="39" t="e">
        <f>SUM(開発費用集計!#REF!:開発費用集計!#REF!)</f>
        <v>#REF!</v>
      </c>
      <c r="G125" s="39"/>
      <c r="H125" s="39"/>
      <c r="I125" s="39"/>
      <c r="J125" s="39"/>
      <c r="K125" s="39"/>
      <c r="L125" s="39"/>
      <c r="M125" s="39"/>
      <c r="N125" s="39"/>
      <c r="O125" s="39"/>
      <c r="P125" s="39"/>
      <c r="Q125" s="39"/>
      <c r="R125" s="13" t="e">
        <f t="shared" si="1"/>
        <v>#REF!</v>
      </c>
    </row>
    <row r="126" spans="2:18">
      <c r="B126" s="10">
        <v>123</v>
      </c>
      <c r="C126" s="3" t="s">
        <v>170</v>
      </c>
      <c r="D126" s="7" t="s">
        <v>171</v>
      </c>
      <c r="E126" s="10" t="s">
        <v>155</v>
      </c>
      <c r="F126" s="39" t="e">
        <f>SUM(開発費用集計!#REF!:開発費用集計!#REF!)</f>
        <v>#REF!</v>
      </c>
      <c r="G126" s="39"/>
      <c r="H126" s="39"/>
      <c r="I126" s="39"/>
      <c r="J126" s="39"/>
      <c r="K126" s="39"/>
      <c r="L126" s="39"/>
      <c r="M126" s="39"/>
      <c r="N126" s="39"/>
      <c r="O126" s="39"/>
      <c r="P126" s="39"/>
      <c r="Q126" s="39"/>
      <c r="R126" s="13" t="e">
        <f t="shared" si="1"/>
        <v>#REF!</v>
      </c>
    </row>
    <row r="127" spans="2:18">
      <c r="B127" s="17">
        <v>124</v>
      </c>
      <c r="C127" s="3" t="s">
        <v>172</v>
      </c>
      <c r="D127" s="7" t="s">
        <v>173</v>
      </c>
      <c r="E127" s="10" t="s">
        <v>155</v>
      </c>
      <c r="F127" s="39" t="e">
        <f>SUM(開発費用集計!#REF!:開発費用集計!#REF!)</f>
        <v>#REF!</v>
      </c>
      <c r="G127" s="39"/>
      <c r="H127" s="39"/>
      <c r="I127" s="39"/>
      <c r="J127" s="39"/>
      <c r="K127" s="39"/>
      <c r="L127" s="39"/>
      <c r="M127" s="39"/>
      <c r="N127" s="39"/>
      <c r="O127" s="39"/>
      <c r="P127" s="39"/>
      <c r="Q127" s="39"/>
      <c r="R127" s="13" t="e">
        <f t="shared" si="1"/>
        <v>#REF!</v>
      </c>
    </row>
    <row r="128" spans="2:18">
      <c r="B128" s="10">
        <v>125</v>
      </c>
      <c r="C128" s="3" t="s">
        <v>174</v>
      </c>
      <c r="D128" s="7" t="s">
        <v>175</v>
      </c>
      <c r="E128" s="10" t="s">
        <v>155</v>
      </c>
      <c r="F128" s="39" t="e">
        <f>SUM(開発費用集計!#REF!:開発費用集計!#REF!)</f>
        <v>#REF!</v>
      </c>
      <c r="G128" s="39"/>
      <c r="H128" s="39"/>
      <c r="I128" s="39"/>
      <c r="J128" s="39"/>
      <c r="K128" s="39"/>
      <c r="L128" s="39"/>
      <c r="M128" s="39"/>
      <c r="N128" s="39"/>
      <c r="O128" s="39"/>
      <c r="P128" s="39"/>
      <c r="Q128" s="39"/>
      <c r="R128" s="13" t="e">
        <f t="shared" si="1"/>
        <v>#REF!</v>
      </c>
    </row>
    <row r="129" spans="2:18">
      <c r="B129" s="17">
        <v>126</v>
      </c>
      <c r="C129" s="3" t="s">
        <v>176</v>
      </c>
      <c r="D129" s="7" t="s">
        <v>177</v>
      </c>
      <c r="E129" s="10" t="s">
        <v>155</v>
      </c>
      <c r="F129" s="39" t="e">
        <f>SUM(開発費用集計!#REF!:開発費用集計!#REF!)</f>
        <v>#REF!</v>
      </c>
      <c r="G129" s="39"/>
      <c r="H129" s="39"/>
      <c r="I129" s="39"/>
      <c r="J129" s="39"/>
      <c r="K129" s="39"/>
      <c r="L129" s="39"/>
      <c r="M129" s="39"/>
      <c r="N129" s="39"/>
      <c r="O129" s="39"/>
      <c r="P129" s="39"/>
      <c r="Q129" s="39"/>
      <c r="R129" s="13" t="e">
        <f t="shared" si="1"/>
        <v>#REF!</v>
      </c>
    </row>
    <row r="130" spans="2:18">
      <c r="B130" s="10">
        <v>127</v>
      </c>
      <c r="C130" s="3" t="s">
        <v>178</v>
      </c>
      <c r="D130" s="7" t="s">
        <v>179</v>
      </c>
      <c r="E130" s="10" t="s">
        <v>155</v>
      </c>
      <c r="F130" s="39" t="e">
        <f>SUM(開発費用集計!#REF!:開発費用集計!#REF!)</f>
        <v>#REF!</v>
      </c>
      <c r="G130" s="39"/>
      <c r="H130" s="39"/>
      <c r="I130" s="39"/>
      <c r="J130" s="39"/>
      <c r="K130" s="39"/>
      <c r="L130" s="39"/>
      <c r="M130" s="39"/>
      <c r="N130" s="39"/>
      <c r="O130" s="39"/>
      <c r="P130" s="39"/>
      <c r="Q130" s="39"/>
      <c r="R130" s="13" t="e">
        <f t="shared" si="1"/>
        <v>#REF!</v>
      </c>
    </row>
    <row r="131" spans="2:18">
      <c r="B131" s="17">
        <v>128</v>
      </c>
      <c r="C131" s="3" t="s">
        <v>180</v>
      </c>
      <c r="D131" s="7" t="s">
        <v>181</v>
      </c>
      <c r="E131" s="10" t="s">
        <v>155</v>
      </c>
      <c r="F131" s="39" t="e">
        <f>SUM(開発費用集計!#REF!:開発費用集計!#REF!)</f>
        <v>#REF!</v>
      </c>
      <c r="G131" s="39"/>
      <c r="H131" s="39"/>
      <c r="I131" s="39"/>
      <c r="J131" s="39"/>
      <c r="K131" s="39"/>
      <c r="L131" s="39"/>
      <c r="M131" s="39"/>
      <c r="N131" s="39"/>
      <c r="O131" s="39"/>
      <c r="P131" s="39"/>
      <c r="Q131" s="39"/>
      <c r="R131" s="13" t="e">
        <f t="shared" si="1"/>
        <v>#REF!</v>
      </c>
    </row>
    <row r="132" spans="2:18">
      <c r="B132" s="10">
        <v>129</v>
      </c>
      <c r="C132" s="3" t="s">
        <v>437</v>
      </c>
      <c r="D132" s="3" t="s">
        <v>438</v>
      </c>
      <c r="E132" s="10" t="s">
        <v>156</v>
      </c>
      <c r="F132" s="39" t="e">
        <f>SUM(開発費用集計!#REF!:開発費用集計!#REF!)</f>
        <v>#REF!</v>
      </c>
      <c r="G132" s="39"/>
      <c r="H132" s="39"/>
      <c r="I132" s="39"/>
      <c r="J132" s="39"/>
      <c r="K132" s="39"/>
      <c r="L132" s="39"/>
      <c r="M132" s="39"/>
      <c r="N132" s="39"/>
      <c r="O132" s="39"/>
      <c r="P132" s="39"/>
      <c r="Q132" s="39"/>
      <c r="R132" s="13" t="e">
        <f t="shared" si="1"/>
        <v>#REF!</v>
      </c>
    </row>
    <row r="133" spans="2:18">
      <c r="B133" s="17">
        <v>130</v>
      </c>
      <c r="C133" s="3" t="s">
        <v>182</v>
      </c>
      <c r="D133" s="8" t="s">
        <v>439</v>
      </c>
      <c r="E133" s="10" t="s">
        <v>155</v>
      </c>
      <c r="F133" s="39" t="e">
        <f>SUM(開発費用集計!#REF!:開発費用集計!#REF!)</f>
        <v>#REF!</v>
      </c>
      <c r="G133" s="39"/>
      <c r="H133" s="39"/>
      <c r="I133" s="39"/>
      <c r="J133" s="39"/>
      <c r="K133" s="39"/>
      <c r="L133" s="39"/>
      <c r="M133" s="39"/>
      <c r="N133" s="39"/>
      <c r="O133" s="39"/>
      <c r="P133" s="39"/>
      <c r="Q133" s="39"/>
      <c r="R133" s="13" t="e">
        <f t="shared" si="1"/>
        <v>#REF!</v>
      </c>
    </row>
    <row r="134" spans="2:18">
      <c r="B134" s="10">
        <v>131</v>
      </c>
      <c r="C134" s="7" t="s">
        <v>183</v>
      </c>
      <c r="D134" s="7" t="s">
        <v>184</v>
      </c>
      <c r="E134" s="10" t="s">
        <v>156</v>
      </c>
      <c r="F134" s="39" t="e">
        <f>SUM(開発費用集計!#REF!:開発費用集計!#REF!)</f>
        <v>#REF!</v>
      </c>
      <c r="G134" s="39"/>
      <c r="H134" s="39"/>
      <c r="I134" s="39"/>
      <c r="J134" s="39"/>
      <c r="K134" s="39"/>
      <c r="L134" s="39"/>
      <c r="M134" s="39"/>
      <c r="N134" s="39"/>
      <c r="O134" s="39"/>
      <c r="P134" s="39"/>
      <c r="Q134" s="39"/>
      <c r="R134" s="13" t="e">
        <f t="shared" ref="R134:R197" si="2">SUM(F134:L134)</f>
        <v>#REF!</v>
      </c>
    </row>
    <row r="135" spans="2:18">
      <c r="B135" s="17">
        <v>132</v>
      </c>
      <c r="C135" s="7" t="s">
        <v>185</v>
      </c>
      <c r="D135" s="7" t="s">
        <v>186</v>
      </c>
      <c r="E135" s="10" t="s">
        <v>440</v>
      </c>
      <c r="F135" s="39" t="e">
        <f>SUM(開発費用集計!#REF!:開発費用集計!#REF!)</f>
        <v>#REF!</v>
      </c>
      <c r="G135" s="39"/>
      <c r="H135" s="39"/>
      <c r="I135" s="39"/>
      <c r="J135" s="39"/>
      <c r="K135" s="39"/>
      <c r="L135" s="39"/>
      <c r="M135" s="39"/>
      <c r="N135" s="39"/>
      <c r="O135" s="39"/>
      <c r="P135" s="39"/>
      <c r="Q135" s="39"/>
      <c r="R135" s="13" t="e">
        <f t="shared" si="2"/>
        <v>#REF!</v>
      </c>
    </row>
    <row r="136" spans="2:18">
      <c r="B136" s="10">
        <v>133</v>
      </c>
      <c r="C136" s="7" t="s">
        <v>187</v>
      </c>
      <c r="D136" s="7" t="s">
        <v>188</v>
      </c>
      <c r="E136" s="10" t="s">
        <v>156</v>
      </c>
      <c r="F136" s="39" t="e">
        <f>SUM(開発費用集計!#REF!:開発費用集計!#REF!)</f>
        <v>#REF!</v>
      </c>
      <c r="G136" s="39"/>
      <c r="H136" s="39"/>
      <c r="I136" s="39"/>
      <c r="J136" s="39"/>
      <c r="K136" s="39"/>
      <c r="L136" s="39"/>
      <c r="M136" s="39"/>
      <c r="N136" s="39"/>
      <c r="O136" s="39"/>
      <c r="P136" s="39"/>
      <c r="Q136" s="39"/>
      <c r="R136" s="13" t="e">
        <f t="shared" si="2"/>
        <v>#REF!</v>
      </c>
    </row>
    <row r="137" spans="2:18">
      <c r="B137" s="17">
        <v>134</v>
      </c>
      <c r="C137" s="7" t="s">
        <v>251</v>
      </c>
      <c r="D137" s="7" t="s">
        <v>252</v>
      </c>
      <c r="E137" s="10" t="s">
        <v>440</v>
      </c>
      <c r="F137" s="39" t="e">
        <f>SUM(開発費用集計!#REF!:開発費用集計!#REF!)</f>
        <v>#REF!</v>
      </c>
      <c r="G137" s="39"/>
      <c r="H137" s="39"/>
      <c r="I137" s="39"/>
      <c r="J137" s="39"/>
      <c r="K137" s="39"/>
      <c r="L137" s="39"/>
      <c r="M137" s="39"/>
      <c r="N137" s="39"/>
      <c r="O137" s="39"/>
      <c r="P137" s="39"/>
      <c r="Q137" s="39"/>
      <c r="R137" s="13" t="e">
        <f t="shared" si="2"/>
        <v>#REF!</v>
      </c>
    </row>
    <row r="138" spans="2:18">
      <c r="B138" s="10">
        <v>135</v>
      </c>
      <c r="C138" s="7" t="s">
        <v>189</v>
      </c>
      <c r="D138" s="7" t="s">
        <v>190</v>
      </c>
      <c r="E138" s="10" t="s">
        <v>155</v>
      </c>
      <c r="F138" s="39" t="e">
        <f>SUM(開発費用集計!#REF!:開発費用集計!#REF!)</f>
        <v>#REF!</v>
      </c>
      <c r="G138" s="39"/>
      <c r="H138" s="39"/>
      <c r="I138" s="39"/>
      <c r="J138" s="39"/>
      <c r="K138" s="39"/>
      <c r="L138" s="39"/>
      <c r="M138" s="39"/>
      <c r="N138" s="39"/>
      <c r="O138" s="39"/>
      <c r="P138" s="39"/>
      <c r="Q138" s="39"/>
      <c r="R138" s="13" t="e">
        <f t="shared" si="2"/>
        <v>#REF!</v>
      </c>
    </row>
    <row r="139" spans="2:18">
      <c r="B139" s="17">
        <v>136</v>
      </c>
      <c r="C139" s="7" t="s">
        <v>191</v>
      </c>
      <c r="D139" s="7" t="s">
        <v>192</v>
      </c>
      <c r="E139" s="10" t="s">
        <v>155</v>
      </c>
      <c r="F139" s="39" t="e">
        <f>SUM(開発費用集計!#REF!:開発費用集計!#REF!)</f>
        <v>#REF!</v>
      </c>
      <c r="G139" s="39"/>
      <c r="H139" s="39"/>
      <c r="I139" s="39"/>
      <c r="J139" s="39"/>
      <c r="K139" s="39"/>
      <c r="L139" s="39"/>
      <c r="M139" s="39"/>
      <c r="N139" s="39"/>
      <c r="O139" s="39"/>
      <c r="P139" s="39"/>
      <c r="Q139" s="39"/>
      <c r="R139" s="13" t="e">
        <f t="shared" si="2"/>
        <v>#REF!</v>
      </c>
    </row>
    <row r="140" spans="2:18">
      <c r="B140" s="10">
        <v>137</v>
      </c>
      <c r="C140" s="7" t="s">
        <v>193</v>
      </c>
      <c r="D140" s="7" t="s">
        <v>194</v>
      </c>
      <c r="E140" s="10" t="s">
        <v>155</v>
      </c>
      <c r="F140" s="39" t="e">
        <f>SUM(開発費用集計!#REF!:開発費用集計!#REF!)</f>
        <v>#REF!</v>
      </c>
      <c r="G140" s="39"/>
      <c r="H140" s="39"/>
      <c r="I140" s="39"/>
      <c r="J140" s="39"/>
      <c r="K140" s="39"/>
      <c r="L140" s="39"/>
      <c r="M140" s="39"/>
      <c r="N140" s="39"/>
      <c r="O140" s="39"/>
      <c r="P140" s="39"/>
      <c r="Q140" s="39"/>
      <c r="R140" s="13" t="e">
        <f t="shared" si="2"/>
        <v>#REF!</v>
      </c>
    </row>
    <row r="141" spans="2:18">
      <c r="B141" s="17">
        <v>138</v>
      </c>
      <c r="C141" s="7" t="s">
        <v>195</v>
      </c>
      <c r="D141" s="7" t="s">
        <v>196</v>
      </c>
      <c r="E141" s="10" t="s">
        <v>155</v>
      </c>
      <c r="F141" s="39" t="e">
        <f>SUM(開発費用集計!#REF!:開発費用集計!#REF!)</f>
        <v>#REF!</v>
      </c>
      <c r="G141" s="39"/>
      <c r="H141" s="39"/>
      <c r="I141" s="39"/>
      <c r="J141" s="39"/>
      <c r="K141" s="39"/>
      <c r="L141" s="39"/>
      <c r="M141" s="39"/>
      <c r="N141" s="39"/>
      <c r="O141" s="39"/>
      <c r="P141" s="39"/>
      <c r="Q141" s="39"/>
      <c r="R141" s="13" t="e">
        <f t="shared" si="2"/>
        <v>#REF!</v>
      </c>
    </row>
    <row r="142" spans="2:18">
      <c r="B142" s="10">
        <v>139</v>
      </c>
      <c r="C142" s="7" t="s">
        <v>197</v>
      </c>
      <c r="D142" s="7" t="s">
        <v>198</v>
      </c>
      <c r="E142" s="10" t="s">
        <v>155</v>
      </c>
      <c r="F142" s="39" t="e">
        <f>SUM(開発費用集計!#REF!:開発費用集計!#REF!)</f>
        <v>#REF!</v>
      </c>
      <c r="G142" s="39"/>
      <c r="H142" s="39"/>
      <c r="I142" s="39"/>
      <c r="J142" s="39"/>
      <c r="K142" s="39"/>
      <c r="L142" s="39"/>
      <c r="M142" s="39"/>
      <c r="N142" s="39"/>
      <c r="O142" s="39"/>
      <c r="P142" s="39"/>
      <c r="Q142" s="39"/>
      <c r="R142" s="13" t="e">
        <f t="shared" si="2"/>
        <v>#REF!</v>
      </c>
    </row>
    <row r="143" spans="2:18">
      <c r="B143" s="17">
        <v>140</v>
      </c>
      <c r="C143" s="7" t="s">
        <v>199</v>
      </c>
      <c r="D143" s="7" t="s">
        <v>200</v>
      </c>
      <c r="E143" s="10" t="s">
        <v>155</v>
      </c>
      <c r="F143" s="39" t="e">
        <f>SUM(開発費用集計!#REF!:開発費用集計!#REF!)</f>
        <v>#REF!</v>
      </c>
      <c r="G143" s="39"/>
      <c r="H143" s="39"/>
      <c r="I143" s="39"/>
      <c r="J143" s="39"/>
      <c r="K143" s="39"/>
      <c r="L143" s="39"/>
      <c r="M143" s="39"/>
      <c r="N143" s="39"/>
      <c r="O143" s="39"/>
      <c r="P143" s="39"/>
      <c r="Q143" s="39"/>
      <c r="R143" s="13" t="e">
        <f t="shared" si="2"/>
        <v>#REF!</v>
      </c>
    </row>
    <row r="144" spans="2:18">
      <c r="B144" s="10">
        <v>141</v>
      </c>
      <c r="C144" s="7" t="s">
        <v>201</v>
      </c>
      <c r="D144" s="7" t="s">
        <v>202</v>
      </c>
      <c r="E144" s="10" t="s">
        <v>155</v>
      </c>
      <c r="F144" s="39" t="e">
        <f>SUM(開発費用集計!#REF!:開発費用集計!#REF!)</f>
        <v>#REF!</v>
      </c>
      <c r="G144" s="39"/>
      <c r="H144" s="39"/>
      <c r="I144" s="39"/>
      <c r="J144" s="39"/>
      <c r="K144" s="39"/>
      <c r="L144" s="39"/>
      <c r="M144" s="39"/>
      <c r="N144" s="39"/>
      <c r="O144" s="39"/>
      <c r="P144" s="39"/>
      <c r="Q144" s="39"/>
      <c r="R144" s="13" t="e">
        <f t="shared" si="2"/>
        <v>#REF!</v>
      </c>
    </row>
    <row r="145" spans="2:18">
      <c r="B145" s="17">
        <v>142</v>
      </c>
      <c r="C145" s="7" t="s">
        <v>203</v>
      </c>
      <c r="D145" s="7" t="s">
        <v>204</v>
      </c>
      <c r="E145" s="10" t="s">
        <v>440</v>
      </c>
      <c r="F145" s="39" t="e">
        <f>SUM(開発費用集計!#REF!:開発費用集計!#REF!)</f>
        <v>#REF!</v>
      </c>
      <c r="G145" s="39"/>
      <c r="H145" s="39"/>
      <c r="I145" s="39"/>
      <c r="J145" s="39"/>
      <c r="K145" s="39"/>
      <c r="L145" s="39"/>
      <c r="M145" s="39"/>
      <c r="N145" s="39"/>
      <c r="O145" s="39"/>
      <c r="P145" s="39"/>
      <c r="Q145" s="39"/>
      <c r="R145" s="13" t="e">
        <f t="shared" si="2"/>
        <v>#REF!</v>
      </c>
    </row>
    <row r="146" spans="2:18">
      <c r="B146" s="10">
        <v>143</v>
      </c>
      <c r="C146" s="7" t="s">
        <v>205</v>
      </c>
      <c r="D146" s="7" t="s">
        <v>206</v>
      </c>
      <c r="E146" s="10" t="s">
        <v>440</v>
      </c>
      <c r="F146" s="39" t="e">
        <f>SUM(開発費用集計!#REF!:開発費用集計!#REF!)</f>
        <v>#REF!</v>
      </c>
      <c r="G146" s="39"/>
      <c r="H146" s="39"/>
      <c r="I146" s="39"/>
      <c r="J146" s="39"/>
      <c r="K146" s="39"/>
      <c r="L146" s="39"/>
      <c r="M146" s="39"/>
      <c r="N146" s="39"/>
      <c r="O146" s="39"/>
      <c r="P146" s="39"/>
      <c r="Q146" s="39"/>
      <c r="R146" s="13" t="e">
        <f t="shared" si="2"/>
        <v>#REF!</v>
      </c>
    </row>
    <row r="147" spans="2:18">
      <c r="B147" s="17">
        <v>144</v>
      </c>
      <c r="C147" s="7" t="s">
        <v>207</v>
      </c>
      <c r="D147" s="7" t="s">
        <v>208</v>
      </c>
      <c r="E147" s="10" t="s">
        <v>440</v>
      </c>
      <c r="F147" s="39" t="e">
        <f>SUM(開発費用集計!#REF!:開発費用集計!#REF!)</f>
        <v>#REF!</v>
      </c>
      <c r="G147" s="39"/>
      <c r="H147" s="39"/>
      <c r="I147" s="39"/>
      <c r="J147" s="39"/>
      <c r="K147" s="39"/>
      <c r="L147" s="39"/>
      <c r="M147" s="39"/>
      <c r="N147" s="39"/>
      <c r="O147" s="39"/>
      <c r="P147" s="39"/>
      <c r="Q147" s="39"/>
      <c r="R147" s="13" t="e">
        <f t="shared" si="2"/>
        <v>#REF!</v>
      </c>
    </row>
    <row r="148" spans="2:18">
      <c r="B148" s="10">
        <v>145</v>
      </c>
      <c r="C148" s="7" t="s">
        <v>209</v>
      </c>
      <c r="D148" s="7" t="s">
        <v>210</v>
      </c>
      <c r="E148" s="10" t="s">
        <v>155</v>
      </c>
      <c r="F148" s="39" t="e">
        <f>SUM(開発費用集計!#REF!:開発費用集計!#REF!)</f>
        <v>#REF!</v>
      </c>
      <c r="G148" s="39"/>
      <c r="H148" s="39"/>
      <c r="I148" s="39"/>
      <c r="J148" s="39"/>
      <c r="K148" s="39"/>
      <c r="L148" s="39"/>
      <c r="M148" s="39"/>
      <c r="N148" s="39"/>
      <c r="O148" s="39"/>
      <c r="P148" s="39"/>
      <c r="Q148" s="39"/>
      <c r="R148" s="13" t="e">
        <f t="shared" si="2"/>
        <v>#REF!</v>
      </c>
    </row>
    <row r="149" spans="2:18">
      <c r="B149" s="17">
        <v>146</v>
      </c>
      <c r="C149" s="7" t="s">
        <v>211</v>
      </c>
      <c r="D149" s="7" t="s">
        <v>212</v>
      </c>
      <c r="E149" s="10" t="s">
        <v>155</v>
      </c>
      <c r="F149" s="39" t="e">
        <f>SUM(開発費用集計!#REF!:開発費用集計!#REF!)</f>
        <v>#REF!</v>
      </c>
      <c r="G149" s="39"/>
      <c r="H149" s="39"/>
      <c r="I149" s="39"/>
      <c r="J149" s="39"/>
      <c r="K149" s="39"/>
      <c r="L149" s="39"/>
      <c r="M149" s="39"/>
      <c r="N149" s="39"/>
      <c r="O149" s="39"/>
      <c r="P149" s="39"/>
      <c r="Q149" s="39"/>
      <c r="R149" s="13" t="e">
        <f t="shared" si="2"/>
        <v>#REF!</v>
      </c>
    </row>
    <row r="150" spans="2:18">
      <c r="B150" s="10">
        <v>147</v>
      </c>
      <c r="C150" s="7" t="s">
        <v>213</v>
      </c>
      <c r="D150" s="7" t="s">
        <v>214</v>
      </c>
      <c r="E150" s="10" t="s">
        <v>155</v>
      </c>
      <c r="F150" s="39" t="e">
        <f>SUM(開発費用集計!#REF!:開発費用集計!#REF!)</f>
        <v>#REF!</v>
      </c>
      <c r="G150" s="39"/>
      <c r="H150" s="39"/>
      <c r="I150" s="39"/>
      <c r="J150" s="39"/>
      <c r="K150" s="39"/>
      <c r="L150" s="39"/>
      <c r="M150" s="39"/>
      <c r="N150" s="39"/>
      <c r="O150" s="39"/>
      <c r="P150" s="39"/>
      <c r="Q150" s="39"/>
      <c r="R150" s="13" t="e">
        <f t="shared" si="2"/>
        <v>#REF!</v>
      </c>
    </row>
    <row r="151" spans="2:18">
      <c r="B151" s="17">
        <v>148</v>
      </c>
      <c r="C151" s="7" t="s">
        <v>215</v>
      </c>
      <c r="D151" s="7" t="s">
        <v>216</v>
      </c>
      <c r="E151" s="10" t="s">
        <v>155</v>
      </c>
      <c r="F151" s="39" t="e">
        <f>SUM(開発費用集計!#REF!:開発費用集計!#REF!)</f>
        <v>#REF!</v>
      </c>
      <c r="G151" s="39"/>
      <c r="H151" s="39"/>
      <c r="I151" s="39"/>
      <c r="J151" s="39"/>
      <c r="K151" s="39"/>
      <c r="L151" s="39"/>
      <c r="M151" s="39"/>
      <c r="N151" s="39"/>
      <c r="O151" s="39"/>
      <c r="P151" s="39"/>
      <c r="Q151" s="39"/>
      <c r="R151" s="13" t="e">
        <f t="shared" si="2"/>
        <v>#REF!</v>
      </c>
    </row>
    <row r="152" spans="2:18">
      <c r="B152" s="10">
        <v>149</v>
      </c>
      <c r="C152" s="7" t="s">
        <v>217</v>
      </c>
      <c r="D152" s="7" t="s">
        <v>218</v>
      </c>
      <c r="E152" s="10" t="s">
        <v>155</v>
      </c>
      <c r="F152" s="39" t="e">
        <f>SUM(開発費用集計!#REF!:開発費用集計!#REF!)</f>
        <v>#REF!</v>
      </c>
      <c r="G152" s="39"/>
      <c r="H152" s="39"/>
      <c r="I152" s="39"/>
      <c r="J152" s="39"/>
      <c r="K152" s="39"/>
      <c r="L152" s="39"/>
      <c r="M152" s="39"/>
      <c r="N152" s="39"/>
      <c r="O152" s="39"/>
      <c r="P152" s="39"/>
      <c r="Q152" s="39"/>
      <c r="R152" s="13" t="e">
        <f t="shared" si="2"/>
        <v>#REF!</v>
      </c>
    </row>
    <row r="153" spans="2:18">
      <c r="B153" s="17">
        <v>150</v>
      </c>
      <c r="C153" s="7" t="s">
        <v>219</v>
      </c>
      <c r="D153" s="7" t="s">
        <v>220</v>
      </c>
      <c r="E153" s="10" t="s">
        <v>155</v>
      </c>
      <c r="F153" s="39" t="e">
        <f>SUM(開発費用集計!#REF!:開発費用集計!#REF!)</f>
        <v>#REF!</v>
      </c>
      <c r="G153" s="39"/>
      <c r="H153" s="39"/>
      <c r="I153" s="39"/>
      <c r="J153" s="39"/>
      <c r="K153" s="39"/>
      <c r="L153" s="39"/>
      <c r="M153" s="39"/>
      <c r="N153" s="39"/>
      <c r="O153" s="39"/>
      <c r="P153" s="39"/>
      <c r="Q153" s="39"/>
      <c r="R153" s="13" t="e">
        <f t="shared" si="2"/>
        <v>#REF!</v>
      </c>
    </row>
    <row r="154" spans="2:18">
      <c r="B154" s="10">
        <v>151</v>
      </c>
      <c r="C154" s="7" t="s">
        <v>221</v>
      </c>
      <c r="D154" s="7" t="s">
        <v>222</v>
      </c>
      <c r="E154" s="10" t="s">
        <v>155</v>
      </c>
      <c r="F154" s="39" t="e">
        <f>SUM(開発費用集計!#REF!:開発費用集計!#REF!)</f>
        <v>#REF!</v>
      </c>
      <c r="G154" s="39"/>
      <c r="H154" s="39"/>
      <c r="I154" s="39"/>
      <c r="J154" s="39"/>
      <c r="K154" s="39"/>
      <c r="L154" s="39"/>
      <c r="M154" s="39"/>
      <c r="N154" s="39"/>
      <c r="O154" s="39"/>
      <c r="P154" s="39"/>
      <c r="Q154" s="39"/>
      <c r="R154" s="13" t="e">
        <f t="shared" si="2"/>
        <v>#REF!</v>
      </c>
    </row>
    <row r="155" spans="2:18">
      <c r="B155" s="17">
        <v>152</v>
      </c>
      <c r="C155" s="7" t="s">
        <v>223</v>
      </c>
      <c r="D155" s="7" t="s">
        <v>224</v>
      </c>
      <c r="E155" s="10" t="s">
        <v>155</v>
      </c>
      <c r="F155" s="39" t="e">
        <f>SUM(開発費用集計!#REF!:開発費用集計!#REF!)</f>
        <v>#REF!</v>
      </c>
      <c r="G155" s="39"/>
      <c r="H155" s="39"/>
      <c r="I155" s="39"/>
      <c r="J155" s="39"/>
      <c r="K155" s="39"/>
      <c r="L155" s="39"/>
      <c r="M155" s="39"/>
      <c r="N155" s="39"/>
      <c r="O155" s="39"/>
      <c r="P155" s="39"/>
      <c r="Q155" s="39"/>
      <c r="R155" s="13" t="e">
        <f t="shared" si="2"/>
        <v>#REF!</v>
      </c>
    </row>
    <row r="156" spans="2:18">
      <c r="B156" s="10">
        <v>153</v>
      </c>
      <c r="C156" s="7" t="s">
        <v>225</v>
      </c>
      <c r="D156" s="7" t="s">
        <v>226</v>
      </c>
      <c r="E156" s="10" t="s">
        <v>155</v>
      </c>
      <c r="F156" s="39" t="e">
        <f>SUM(開発費用集計!#REF!:開発費用集計!#REF!)</f>
        <v>#REF!</v>
      </c>
      <c r="G156" s="39"/>
      <c r="H156" s="39"/>
      <c r="I156" s="39"/>
      <c r="J156" s="39"/>
      <c r="K156" s="39"/>
      <c r="L156" s="39"/>
      <c r="M156" s="39"/>
      <c r="N156" s="39"/>
      <c r="O156" s="39"/>
      <c r="P156" s="39"/>
      <c r="Q156" s="39"/>
      <c r="R156" s="13" t="e">
        <f t="shared" si="2"/>
        <v>#REF!</v>
      </c>
    </row>
    <row r="157" spans="2:18">
      <c r="B157" s="17">
        <v>154</v>
      </c>
      <c r="C157" s="7" t="s">
        <v>475</v>
      </c>
      <c r="D157" s="7" t="s">
        <v>441</v>
      </c>
      <c r="E157" s="10" t="s">
        <v>155</v>
      </c>
      <c r="F157" s="39" t="e">
        <f>SUM(開発費用集計!#REF!:開発費用集計!#REF!)</f>
        <v>#REF!</v>
      </c>
      <c r="G157" s="39"/>
      <c r="H157" s="39"/>
      <c r="I157" s="39"/>
      <c r="J157" s="39"/>
      <c r="K157" s="39"/>
      <c r="L157" s="39"/>
      <c r="M157" s="39"/>
      <c r="N157" s="39"/>
      <c r="O157" s="39"/>
      <c r="P157" s="39"/>
      <c r="Q157" s="39"/>
      <c r="R157" s="13" t="e">
        <f t="shared" si="2"/>
        <v>#REF!</v>
      </c>
    </row>
    <row r="158" spans="2:18">
      <c r="B158" s="10">
        <v>155</v>
      </c>
      <c r="C158" s="7" t="s">
        <v>227</v>
      </c>
      <c r="D158" s="7" t="s">
        <v>228</v>
      </c>
      <c r="E158" s="10" t="s">
        <v>155</v>
      </c>
      <c r="F158" s="39" t="e">
        <f>SUM(開発費用集計!#REF!:開発費用集計!#REF!)</f>
        <v>#REF!</v>
      </c>
      <c r="G158" s="39"/>
      <c r="H158" s="39"/>
      <c r="I158" s="39"/>
      <c r="J158" s="39"/>
      <c r="K158" s="39"/>
      <c r="L158" s="39"/>
      <c r="M158" s="39"/>
      <c r="N158" s="39"/>
      <c r="O158" s="39"/>
      <c r="P158" s="39"/>
      <c r="Q158" s="39"/>
      <c r="R158" s="13" t="e">
        <f t="shared" si="2"/>
        <v>#REF!</v>
      </c>
    </row>
    <row r="159" spans="2:18">
      <c r="B159" s="17">
        <v>156</v>
      </c>
      <c r="C159" s="7" t="s">
        <v>229</v>
      </c>
      <c r="D159" s="7" t="s">
        <v>230</v>
      </c>
      <c r="E159" s="10" t="s">
        <v>155</v>
      </c>
      <c r="F159" s="39" t="e">
        <f>SUM(開発費用集計!#REF!:開発費用集計!#REF!)</f>
        <v>#REF!</v>
      </c>
      <c r="G159" s="39"/>
      <c r="H159" s="39"/>
      <c r="I159" s="39"/>
      <c r="J159" s="39"/>
      <c r="K159" s="39"/>
      <c r="L159" s="39"/>
      <c r="M159" s="39"/>
      <c r="N159" s="39"/>
      <c r="O159" s="39"/>
      <c r="P159" s="39"/>
      <c r="Q159" s="39"/>
      <c r="R159" s="13" t="e">
        <f t="shared" si="2"/>
        <v>#REF!</v>
      </c>
    </row>
    <row r="160" spans="2:18">
      <c r="B160" s="10">
        <v>157</v>
      </c>
      <c r="C160" s="7" t="s">
        <v>231</v>
      </c>
      <c r="D160" s="7" t="s">
        <v>232</v>
      </c>
      <c r="E160" s="10" t="s">
        <v>155</v>
      </c>
      <c r="F160" s="39" t="e">
        <f>SUM(開発費用集計!#REF!:開発費用集計!#REF!)</f>
        <v>#REF!</v>
      </c>
      <c r="G160" s="39"/>
      <c r="H160" s="39"/>
      <c r="I160" s="39"/>
      <c r="J160" s="39"/>
      <c r="K160" s="39"/>
      <c r="L160" s="39"/>
      <c r="M160" s="39"/>
      <c r="N160" s="39"/>
      <c r="O160" s="39"/>
      <c r="P160" s="39"/>
      <c r="Q160" s="39"/>
      <c r="R160" s="13" t="e">
        <f t="shared" si="2"/>
        <v>#REF!</v>
      </c>
    </row>
    <row r="161" spans="2:18">
      <c r="B161" s="17">
        <v>158</v>
      </c>
      <c r="C161" s="7" t="s">
        <v>233</v>
      </c>
      <c r="D161" s="7" t="s">
        <v>234</v>
      </c>
      <c r="E161" s="10" t="s">
        <v>155</v>
      </c>
      <c r="F161" s="39" t="e">
        <f>SUM(開発費用集計!#REF!:開発費用集計!#REF!)</f>
        <v>#REF!</v>
      </c>
      <c r="G161" s="39"/>
      <c r="H161" s="39"/>
      <c r="I161" s="39"/>
      <c r="J161" s="39"/>
      <c r="K161" s="39"/>
      <c r="L161" s="39"/>
      <c r="M161" s="39"/>
      <c r="N161" s="39"/>
      <c r="O161" s="39"/>
      <c r="P161" s="39"/>
      <c r="Q161" s="39"/>
      <c r="R161" s="13" t="e">
        <f t="shared" si="2"/>
        <v>#REF!</v>
      </c>
    </row>
    <row r="162" spans="2:18">
      <c r="B162" s="10">
        <v>159</v>
      </c>
      <c r="C162" s="7" t="s">
        <v>235</v>
      </c>
      <c r="D162" s="7" t="s">
        <v>236</v>
      </c>
      <c r="E162" s="10" t="s">
        <v>155</v>
      </c>
      <c r="F162" s="39" t="e">
        <f>SUM(開発費用集計!#REF!:開発費用集計!#REF!)</f>
        <v>#REF!</v>
      </c>
      <c r="G162" s="39"/>
      <c r="H162" s="39"/>
      <c r="I162" s="39"/>
      <c r="J162" s="39"/>
      <c r="K162" s="39"/>
      <c r="L162" s="39"/>
      <c r="M162" s="39"/>
      <c r="N162" s="39"/>
      <c r="O162" s="39"/>
      <c r="P162" s="39"/>
      <c r="Q162" s="39"/>
      <c r="R162" s="13" t="e">
        <f t="shared" si="2"/>
        <v>#REF!</v>
      </c>
    </row>
    <row r="163" spans="2:18">
      <c r="B163" s="17">
        <v>160</v>
      </c>
      <c r="C163" s="7" t="s">
        <v>237</v>
      </c>
      <c r="D163" s="7" t="s">
        <v>238</v>
      </c>
      <c r="E163" s="10" t="s">
        <v>155</v>
      </c>
      <c r="F163" s="39" t="e">
        <f>SUM(開発費用集計!#REF!:開発費用集計!#REF!)</f>
        <v>#REF!</v>
      </c>
      <c r="G163" s="39"/>
      <c r="H163" s="39"/>
      <c r="I163" s="39"/>
      <c r="J163" s="39"/>
      <c r="K163" s="39"/>
      <c r="L163" s="39"/>
      <c r="M163" s="39"/>
      <c r="N163" s="39"/>
      <c r="O163" s="39"/>
      <c r="P163" s="39"/>
      <c r="Q163" s="39"/>
      <c r="R163" s="13" t="e">
        <f t="shared" si="2"/>
        <v>#REF!</v>
      </c>
    </row>
    <row r="164" spans="2:18">
      <c r="B164" s="10">
        <v>161</v>
      </c>
      <c r="C164" s="7" t="s">
        <v>239</v>
      </c>
      <c r="D164" s="7" t="s">
        <v>240</v>
      </c>
      <c r="E164" s="10" t="s">
        <v>155</v>
      </c>
      <c r="F164" s="39" t="e">
        <f>SUM(開発費用集計!#REF!:開発費用集計!#REF!)</f>
        <v>#REF!</v>
      </c>
      <c r="G164" s="39"/>
      <c r="H164" s="39"/>
      <c r="I164" s="39"/>
      <c r="J164" s="39"/>
      <c r="K164" s="39"/>
      <c r="L164" s="39"/>
      <c r="M164" s="39"/>
      <c r="N164" s="39"/>
      <c r="O164" s="39"/>
      <c r="P164" s="39"/>
      <c r="Q164" s="39"/>
      <c r="R164" s="13" t="e">
        <f t="shared" si="2"/>
        <v>#REF!</v>
      </c>
    </row>
    <row r="165" spans="2:18">
      <c r="B165" s="17">
        <v>162</v>
      </c>
      <c r="C165" s="7" t="s">
        <v>241</v>
      </c>
      <c r="D165" s="7" t="s">
        <v>242</v>
      </c>
      <c r="E165" s="10" t="s">
        <v>440</v>
      </c>
      <c r="F165" s="39" t="e">
        <f>SUM(開発費用集計!#REF!:開発費用集計!#REF!)</f>
        <v>#REF!</v>
      </c>
      <c r="G165" s="39"/>
      <c r="H165" s="39"/>
      <c r="I165" s="39"/>
      <c r="J165" s="39"/>
      <c r="K165" s="39"/>
      <c r="L165" s="39"/>
      <c r="M165" s="39"/>
      <c r="N165" s="39"/>
      <c r="O165" s="39"/>
      <c r="P165" s="39"/>
      <c r="Q165" s="39"/>
      <c r="R165" s="13" t="e">
        <f t="shared" si="2"/>
        <v>#REF!</v>
      </c>
    </row>
    <row r="166" spans="2:18">
      <c r="B166" s="10">
        <v>163</v>
      </c>
      <c r="C166" s="7" t="s">
        <v>243</v>
      </c>
      <c r="D166" s="3" t="s">
        <v>244</v>
      </c>
      <c r="E166" s="10" t="s">
        <v>155</v>
      </c>
      <c r="F166" s="39" t="e">
        <f>SUM(開発費用集計!#REF!:開発費用集計!#REF!)</f>
        <v>#REF!</v>
      </c>
      <c r="G166" s="39"/>
      <c r="H166" s="39"/>
      <c r="I166" s="39"/>
      <c r="J166" s="39"/>
      <c r="K166" s="39"/>
      <c r="L166" s="39"/>
      <c r="M166" s="39"/>
      <c r="N166" s="39"/>
      <c r="O166" s="39"/>
      <c r="P166" s="39"/>
      <c r="Q166" s="39"/>
      <c r="R166" s="13" t="e">
        <f t="shared" si="2"/>
        <v>#REF!</v>
      </c>
    </row>
    <row r="167" spans="2:18">
      <c r="B167" s="17">
        <v>164</v>
      </c>
      <c r="C167" s="3" t="s">
        <v>245</v>
      </c>
      <c r="D167" s="8" t="s">
        <v>246</v>
      </c>
      <c r="E167" s="10" t="s">
        <v>440</v>
      </c>
      <c r="F167" s="39" t="e">
        <f>SUM(開発費用集計!#REF!:開発費用集計!#REF!)</f>
        <v>#REF!</v>
      </c>
      <c r="G167" s="39"/>
      <c r="H167" s="39"/>
      <c r="I167" s="39"/>
      <c r="J167" s="39"/>
      <c r="K167" s="39"/>
      <c r="L167" s="39"/>
      <c r="M167" s="39"/>
      <c r="N167" s="39"/>
      <c r="O167" s="39"/>
      <c r="P167" s="39"/>
      <c r="Q167" s="39"/>
      <c r="R167" s="13" t="e">
        <f t="shared" si="2"/>
        <v>#REF!</v>
      </c>
    </row>
    <row r="168" spans="2:18">
      <c r="B168" s="10">
        <v>165</v>
      </c>
      <c r="C168" s="3" t="s">
        <v>247</v>
      </c>
      <c r="D168" s="8" t="s">
        <v>248</v>
      </c>
      <c r="E168" s="10" t="s">
        <v>155</v>
      </c>
      <c r="F168" s="39" t="e">
        <f>SUM(開発費用集計!#REF!:開発費用集計!#REF!)</f>
        <v>#REF!</v>
      </c>
      <c r="G168" s="39"/>
      <c r="H168" s="39"/>
      <c r="I168" s="39"/>
      <c r="J168" s="39"/>
      <c r="K168" s="39"/>
      <c r="L168" s="39"/>
      <c r="M168" s="39"/>
      <c r="N168" s="39"/>
      <c r="O168" s="39"/>
      <c r="P168" s="39"/>
      <c r="Q168" s="39"/>
      <c r="R168" s="13" t="e">
        <f t="shared" si="2"/>
        <v>#REF!</v>
      </c>
    </row>
    <row r="169" spans="2:18">
      <c r="B169" s="17">
        <v>166</v>
      </c>
      <c r="C169" s="3" t="s">
        <v>249</v>
      </c>
      <c r="D169" s="8" t="s">
        <v>250</v>
      </c>
      <c r="E169" s="10" t="s">
        <v>440</v>
      </c>
      <c r="F169" s="39" t="e">
        <f>SUM(開発費用集計!#REF!:開発費用集計!#REF!)</f>
        <v>#REF!</v>
      </c>
      <c r="G169" s="39"/>
      <c r="H169" s="39"/>
      <c r="I169" s="39"/>
      <c r="J169" s="39"/>
      <c r="K169" s="39"/>
      <c r="L169" s="39"/>
      <c r="M169" s="39"/>
      <c r="N169" s="39"/>
      <c r="O169" s="39"/>
      <c r="P169" s="39"/>
      <c r="Q169" s="39"/>
      <c r="R169" s="13" t="e">
        <f t="shared" si="2"/>
        <v>#REF!</v>
      </c>
    </row>
    <row r="170" spans="2:18">
      <c r="B170" s="40">
        <v>167</v>
      </c>
      <c r="C170" s="3" t="s">
        <v>477</v>
      </c>
      <c r="D170" s="8" t="s">
        <v>253</v>
      </c>
      <c r="E170" s="10" t="s">
        <v>155</v>
      </c>
      <c r="F170" s="39" t="e">
        <f>SUM(開発費用集計!#REF!:開発費用集計!#REF!)</f>
        <v>#REF!</v>
      </c>
      <c r="G170" s="39"/>
      <c r="H170" s="39"/>
      <c r="I170" s="39"/>
      <c r="J170" s="39"/>
      <c r="K170" s="39"/>
      <c r="L170" s="39"/>
      <c r="M170" s="39"/>
      <c r="N170" s="39"/>
      <c r="O170" s="39"/>
      <c r="P170" s="39"/>
      <c r="Q170" s="39"/>
      <c r="R170" s="13" t="e">
        <f t="shared" si="2"/>
        <v>#REF!</v>
      </c>
    </row>
    <row r="171" spans="2:18">
      <c r="B171" s="40">
        <v>168</v>
      </c>
      <c r="C171" s="3" t="s">
        <v>476</v>
      </c>
      <c r="D171" s="8" t="s">
        <v>442</v>
      </c>
      <c r="E171" s="10" t="s">
        <v>155</v>
      </c>
      <c r="F171" s="39" t="e">
        <f>SUM(開発費用集計!#REF!:開発費用集計!#REF!)</f>
        <v>#REF!</v>
      </c>
      <c r="G171" s="39"/>
      <c r="H171" s="39"/>
      <c r="I171" s="39"/>
      <c r="J171" s="39"/>
      <c r="K171" s="39"/>
      <c r="L171" s="39"/>
      <c r="M171" s="39"/>
      <c r="N171" s="39"/>
      <c r="O171" s="39"/>
      <c r="P171" s="39"/>
      <c r="Q171" s="39"/>
      <c r="R171" s="13" t="e">
        <f t="shared" si="2"/>
        <v>#REF!</v>
      </c>
    </row>
    <row r="172" spans="2:18">
      <c r="B172" s="40">
        <v>169</v>
      </c>
      <c r="C172" s="3" t="s">
        <v>254</v>
      </c>
      <c r="D172" s="8" t="s">
        <v>255</v>
      </c>
      <c r="E172" s="10" t="s">
        <v>155</v>
      </c>
      <c r="F172" s="39" t="e">
        <f>SUM(開発費用集計!#REF!:開発費用集計!#REF!)</f>
        <v>#REF!</v>
      </c>
      <c r="G172" s="39"/>
      <c r="H172" s="39"/>
      <c r="I172" s="39"/>
      <c r="J172" s="39"/>
      <c r="K172" s="39"/>
      <c r="L172" s="39"/>
      <c r="M172" s="39"/>
      <c r="N172" s="39"/>
      <c r="O172" s="39"/>
      <c r="P172" s="39"/>
      <c r="Q172" s="39"/>
      <c r="R172" s="13" t="e">
        <f t="shared" si="2"/>
        <v>#REF!</v>
      </c>
    </row>
    <row r="173" spans="2:18">
      <c r="B173" s="40">
        <v>170</v>
      </c>
      <c r="C173" s="3" t="s">
        <v>256</v>
      </c>
      <c r="D173" s="8" t="s">
        <v>257</v>
      </c>
      <c r="E173" s="10" t="s">
        <v>155</v>
      </c>
      <c r="F173" s="39" t="e">
        <f>SUM(開発費用集計!#REF!:開発費用集計!#REF!)</f>
        <v>#REF!</v>
      </c>
      <c r="G173" s="39"/>
      <c r="H173" s="39"/>
      <c r="I173" s="39"/>
      <c r="J173" s="39"/>
      <c r="K173" s="39"/>
      <c r="L173" s="39"/>
      <c r="M173" s="39"/>
      <c r="N173" s="39"/>
      <c r="O173" s="39"/>
      <c r="P173" s="39"/>
      <c r="Q173" s="39"/>
      <c r="R173" s="13" t="e">
        <f t="shared" si="2"/>
        <v>#REF!</v>
      </c>
    </row>
    <row r="174" spans="2:18">
      <c r="B174" s="40">
        <v>171</v>
      </c>
      <c r="C174" s="3" t="s">
        <v>258</v>
      </c>
      <c r="D174" s="8" t="s">
        <v>259</v>
      </c>
      <c r="E174" s="10" t="s">
        <v>155</v>
      </c>
      <c r="F174" s="39" t="e">
        <f>SUM(開発費用集計!#REF!:開発費用集計!#REF!)</f>
        <v>#REF!</v>
      </c>
      <c r="G174" s="39"/>
      <c r="H174" s="39"/>
      <c r="I174" s="39"/>
      <c r="J174" s="39"/>
      <c r="K174" s="39"/>
      <c r="L174" s="39"/>
      <c r="M174" s="39"/>
      <c r="N174" s="39"/>
      <c r="O174" s="39"/>
      <c r="P174" s="39"/>
      <c r="Q174" s="39"/>
      <c r="R174" s="13" t="e">
        <f t="shared" si="2"/>
        <v>#REF!</v>
      </c>
    </row>
    <row r="175" spans="2:18">
      <c r="B175" s="40">
        <v>172</v>
      </c>
      <c r="C175" s="3" t="s">
        <v>478</v>
      </c>
      <c r="D175" s="8" t="s">
        <v>260</v>
      </c>
      <c r="E175" s="10" t="s">
        <v>156</v>
      </c>
      <c r="F175" s="39" t="e">
        <f>SUM(開発費用集計!#REF!:開発費用集計!#REF!)</f>
        <v>#REF!</v>
      </c>
      <c r="G175" s="39"/>
      <c r="H175" s="39"/>
      <c r="I175" s="39"/>
      <c r="J175" s="39"/>
      <c r="K175" s="39"/>
      <c r="L175" s="39"/>
      <c r="M175" s="39"/>
      <c r="N175" s="39"/>
      <c r="O175" s="39"/>
      <c r="P175" s="39"/>
      <c r="Q175" s="39"/>
      <c r="R175" s="13" t="e">
        <f t="shared" si="2"/>
        <v>#REF!</v>
      </c>
    </row>
    <row r="176" spans="2:18">
      <c r="B176" s="40">
        <v>173</v>
      </c>
      <c r="C176" s="3" t="s">
        <v>261</v>
      </c>
      <c r="D176" s="8" t="s">
        <v>262</v>
      </c>
      <c r="E176" s="10" t="s">
        <v>155</v>
      </c>
      <c r="F176" s="39" t="e">
        <f>SUM(開発費用集計!#REF!:開発費用集計!#REF!)</f>
        <v>#REF!</v>
      </c>
      <c r="G176" s="39"/>
      <c r="H176" s="39"/>
      <c r="I176" s="39"/>
      <c r="J176" s="39"/>
      <c r="K176" s="39"/>
      <c r="L176" s="39"/>
      <c r="M176" s="39"/>
      <c r="N176" s="39"/>
      <c r="O176" s="39"/>
      <c r="P176" s="39"/>
      <c r="Q176" s="39"/>
      <c r="R176" s="13" t="e">
        <f t="shared" si="2"/>
        <v>#REF!</v>
      </c>
    </row>
    <row r="177" spans="2:18">
      <c r="B177" s="40">
        <v>174</v>
      </c>
      <c r="C177" s="3" t="s">
        <v>479</v>
      </c>
      <c r="D177" s="8" t="s">
        <v>263</v>
      </c>
      <c r="E177" s="10" t="s">
        <v>155</v>
      </c>
      <c r="F177" s="39" t="e">
        <f>SUM(開発費用集計!#REF!:開発費用集計!#REF!)</f>
        <v>#REF!</v>
      </c>
      <c r="G177" s="39"/>
      <c r="H177" s="39"/>
      <c r="I177" s="39"/>
      <c r="J177" s="39"/>
      <c r="K177" s="39"/>
      <c r="L177" s="39"/>
      <c r="M177" s="39"/>
      <c r="N177" s="39"/>
      <c r="O177" s="39"/>
      <c r="P177" s="39"/>
      <c r="Q177" s="39"/>
      <c r="R177" s="13" t="e">
        <f t="shared" si="2"/>
        <v>#REF!</v>
      </c>
    </row>
    <row r="178" spans="2:18">
      <c r="B178" s="40">
        <v>175</v>
      </c>
      <c r="C178" s="3" t="s">
        <v>480</v>
      </c>
      <c r="D178" s="8" t="s">
        <v>264</v>
      </c>
      <c r="E178" s="10" t="s">
        <v>156</v>
      </c>
      <c r="F178" s="39" t="e">
        <f>SUM(開発費用集計!#REF!:開発費用集計!#REF!)</f>
        <v>#REF!</v>
      </c>
      <c r="G178" s="39"/>
      <c r="H178" s="39"/>
      <c r="I178" s="39"/>
      <c r="J178" s="39"/>
      <c r="K178" s="39"/>
      <c r="L178" s="39"/>
      <c r="M178" s="39"/>
      <c r="N178" s="39"/>
      <c r="O178" s="39"/>
      <c r="P178" s="39"/>
      <c r="Q178" s="39"/>
      <c r="R178" s="13" t="e">
        <f t="shared" si="2"/>
        <v>#REF!</v>
      </c>
    </row>
    <row r="179" spans="2:18">
      <c r="B179" s="40">
        <v>176</v>
      </c>
      <c r="C179" s="3" t="s">
        <v>265</v>
      </c>
      <c r="D179" s="8" t="s">
        <v>266</v>
      </c>
      <c r="E179" s="10" t="s">
        <v>155</v>
      </c>
      <c r="F179" s="39" t="e">
        <f>SUM(開発費用集計!#REF!:開発費用集計!#REF!)</f>
        <v>#REF!</v>
      </c>
      <c r="G179" s="39"/>
      <c r="H179" s="39"/>
      <c r="I179" s="39"/>
      <c r="J179" s="39"/>
      <c r="K179" s="39"/>
      <c r="L179" s="39"/>
      <c r="M179" s="39"/>
      <c r="N179" s="39"/>
      <c r="O179" s="39"/>
      <c r="P179" s="39"/>
      <c r="Q179" s="39"/>
      <c r="R179" s="13" t="e">
        <f t="shared" si="2"/>
        <v>#REF!</v>
      </c>
    </row>
    <row r="180" spans="2:18">
      <c r="B180" s="40">
        <v>177</v>
      </c>
      <c r="C180" s="3" t="s">
        <v>267</v>
      </c>
      <c r="D180" s="8" t="s">
        <v>268</v>
      </c>
      <c r="E180" s="10" t="s">
        <v>155</v>
      </c>
      <c r="F180" s="39" t="e">
        <f>SUM(開発費用集計!#REF!:開発費用集計!#REF!)</f>
        <v>#REF!</v>
      </c>
      <c r="G180" s="39"/>
      <c r="H180" s="39"/>
      <c r="I180" s="39"/>
      <c r="J180" s="39"/>
      <c r="K180" s="39"/>
      <c r="L180" s="39"/>
      <c r="M180" s="39"/>
      <c r="N180" s="39"/>
      <c r="O180" s="39"/>
      <c r="P180" s="39"/>
      <c r="Q180" s="39"/>
      <c r="R180" s="13" t="e">
        <f t="shared" si="2"/>
        <v>#REF!</v>
      </c>
    </row>
    <row r="181" spans="2:18">
      <c r="B181" s="40">
        <v>178</v>
      </c>
      <c r="C181" s="3" t="s">
        <v>269</v>
      </c>
      <c r="D181" s="8" t="s">
        <v>270</v>
      </c>
      <c r="E181" s="10" t="s">
        <v>155</v>
      </c>
      <c r="F181" s="39" t="e">
        <f>SUM(開発費用集計!#REF!:開発費用集計!#REF!)</f>
        <v>#REF!</v>
      </c>
      <c r="G181" s="39"/>
      <c r="H181" s="39"/>
      <c r="I181" s="39"/>
      <c r="J181" s="39"/>
      <c r="K181" s="39"/>
      <c r="L181" s="39"/>
      <c r="M181" s="39"/>
      <c r="N181" s="39"/>
      <c r="O181" s="39"/>
      <c r="P181" s="39"/>
      <c r="Q181" s="39"/>
      <c r="R181" s="13" t="e">
        <f t="shared" si="2"/>
        <v>#REF!</v>
      </c>
    </row>
    <row r="182" spans="2:18">
      <c r="B182" s="40">
        <v>179</v>
      </c>
      <c r="C182" s="3" t="s">
        <v>271</v>
      </c>
      <c r="D182" s="8" t="s">
        <v>272</v>
      </c>
      <c r="E182" s="10" t="s">
        <v>155</v>
      </c>
      <c r="F182" s="39" t="e">
        <f>SUM(開発費用集計!#REF!:開発費用集計!#REF!)</f>
        <v>#REF!</v>
      </c>
      <c r="G182" s="39"/>
      <c r="H182" s="39"/>
      <c r="I182" s="39"/>
      <c r="J182" s="39"/>
      <c r="K182" s="39"/>
      <c r="L182" s="39"/>
      <c r="M182" s="39"/>
      <c r="N182" s="39"/>
      <c r="O182" s="39"/>
      <c r="P182" s="39"/>
      <c r="Q182" s="39"/>
      <c r="R182" s="13" t="e">
        <f t="shared" si="2"/>
        <v>#REF!</v>
      </c>
    </row>
    <row r="183" spans="2:18">
      <c r="B183" s="40">
        <v>180</v>
      </c>
      <c r="C183" s="3" t="s">
        <v>273</v>
      </c>
      <c r="D183" s="8" t="s">
        <v>274</v>
      </c>
      <c r="E183" s="10" t="s">
        <v>155</v>
      </c>
      <c r="F183" s="39" t="e">
        <f>SUM(開発費用集計!#REF!:開発費用集計!#REF!)</f>
        <v>#REF!</v>
      </c>
      <c r="G183" s="39"/>
      <c r="H183" s="39"/>
      <c r="I183" s="39"/>
      <c r="J183" s="39"/>
      <c r="K183" s="39"/>
      <c r="L183" s="39"/>
      <c r="M183" s="39"/>
      <c r="N183" s="39"/>
      <c r="O183" s="39"/>
      <c r="P183" s="39"/>
      <c r="Q183" s="39"/>
      <c r="R183" s="13" t="e">
        <f t="shared" si="2"/>
        <v>#REF!</v>
      </c>
    </row>
    <row r="184" spans="2:18">
      <c r="B184" s="40">
        <v>181</v>
      </c>
      <c r="C184" s="3" t="s">
        <v>275</v>
      </c>
      <c r="D184" s="8" t="s">
        <v>276</v>
      </c>
      <c r="E184" s="10" t="s">
        <v>155</v>
      </c>
      <c r="F184" s="39" t="e">
        <f>SUM(開発費用集計!#REF!:開発費用集計!#REF!)</f>
        <v>#REF!</v>
      </c>
      <c r="G184" s="39"/>
      <c r="H184" s="39"/>
      <c r="I184" s="39"/>
      <c r="J184" s="39"/>
      <c r="K184" s="39"/>
      <c r="L184" s="39"/>
      <c r="M184" s="39"/>
      <c r="N184" s="39"/>
      <c r="O184" s="39"/>
      <c r="P184" s="39"/>
      <c r="Q184" s="39"/>
      <c r="R184" s="13" t="e">
        <f t="shared" si="2"/>
        <v>#REF!</v>
      </c>
    </row>
    <row r="185" spans="2:18">
      <c r="B185" s="40">
        <v>182</v>
      </c>
      <c r="C185" s="3" t="s">
        <v>277</v>
      </c>
      <c r="D185" s="8" t="s">
        <v>278</v>
      </c>
      <c r="E185" s="10" t="s">
        <v>155</v>
      </c>
      <c r="F185" s="39" t="e">
        <f>SUM(開発費用集計!#REF!:開発費用集計!#REF!)</f>
        <v>#REF!</v>
      </c>
      <c r="G185" s="39"/>
      <c r="H185" s="39"/>
      <c r="I185" s="39"/>
      <c r="J185" s="39"/>
      <c r="K185" s="39"/>
      <c r="L185" s="39"/>
      <c r="M185" s="39"/>
      <c r="N185" s="39"/>
      <c r="O185" s="39"/>
      <c r="P185" s="39"/>
      <c r="Q185" s="39"/>
      <c r="R185" s="13" t="e">
        <f t="shared" si="2"/>
        <v>#REF!</v>
      </c>
    </row>
    <row r="186" spans="2:18">
      <c r="B186" s="40">
        <v>183</v>
      </c>
      <c r="C186" s="3" t="s">
        <v>279</v>
      </c>
      <c r="D186" s="8" t="s">
        <v>280</v>
      </c>
      <c r="E186" s="10" t="s">
        <v>155</v>
      </c>
      <c r="F186" s="39" t="e">
        <f>SUM(開発費用集計!#REF!:開発費用集計!#REF!)</f>
        <v>#REF!</v>
      </c>
      <c r="G186" s="39"/>
      <c r="H186" s="39"/>
      <c r="I186" s="39"/>
      <c r="J186" s="39"/>
      <c r="K186" s="39"/>
      <c r="L186" s="39"/>
      <c r="M186" s="39"/>
      <c r="N186" s="39"/>
      <c r="O186" s="39"/>
      <c r="P186" s="39"/>
      <c r="Q186" s="39"/>
      <c r="R186" s="13" t="e">
        <f t="shared" si="2"/>
        <v>#REF!</v>
      </c>
    </row>
    <row r="187" spans="2:18">
      <c r="B187" s="40">
        <v>184</v>
      </c>
      <c r="C187" s="3" t="s">
        <v>281</v>
      </c>
      <c r="D187" s="8" t="s">
        <v>282</v>
      </c>
      <c r="E187" s="10" t="s">
        <v>155</v>
      </c>
      <c r="F187" s="39" t="e">
        <f>SUM(開発費用集計!#REF!:開発費用集計!#REF!)</f>
        <v>#REF!</v>
      </c>
      <c r="G187" s="39"/>
      <c r="H187" s="39"/>
      <c r="I187" s="39"/>
      <c r="J187" s="39"/>
      <c r="K187" s="39"/>
      <c r="L187" s="39"/>
      <c r="M187" s="39"/>
      <c r="N187" s="39"/>
      <c r="O187" s="39"/>
      <c r="P187" s="39"/>
      <c r="Q187" s="39"/>
      <c r="R187" s="13" t="e">
        <f t="shared" si="2"/>
        <v>#REF!</v>
      </c>
    </row>
    <row r="188" spans="2:18">
      <c r="B188" s="40">
        <v>185</v>
      </c>
      <c r="C188" s="3" t="s">
        <v>283</v>
      </c>
      <c r="D188" s="8" t="s">
        <v>284</v>
      </c>
      <c r="E188" s="10" t="s">
        <v>156</v>
      </c>
      <c r="F188" s="39" t="e">
        <f>SUM(開発費用集計!#REF!:開発費用集計!#REF!)</f>
        <v>#REF!</v>
      </c>
      <c r="G188" s="39"/>
      <c r="H188" s="39"/>
      <c r="I188" s="39"/>
      <c r="J188" s="39"/>
      <c r="K188" s="39"/>
      <c r="L188" s="39"/>
      <c r="M188" s="39"/>
      <c r="N188" s="39"/>
      <c r="O188" s="39"/>
      <c r="P188" s="39"/>
      <c r="Q188" s="39"/>
      <c r="R188" s="13" t="e">
        <f t="shared" si="2"/>
        <v>#REF!</v>
      </c>
    </row>
    <row r="189" spans="2:18">
      <c r="B189" s="40">
        <v>186</v>
      </c>
      <c r="C189" s="3" t="s">
        <v>285</v>
      </c>
      <c r="D189" s="8" t="s">
        <v>286</v>
      </c>
      <c r="E189" s="10" t="s">
        <v>155</v>
      </c>
      <c r="F189" s="39" t="e">
        <f>SUM(開発費用集計!#REF!:開発費用集計!#REF!)</f>
        <v>#REF!</v>
      </c>
      <c r="G189" s="39"/>
      <c r="H189" s="39"/>
      <c r="I189" s="39"/>
      <c r="J189" s="39"/>
      <c r="K189" s="39"/>
      <c r="L189" s="39"/>
      <c r="M189" s="39"/>
      <c r="N189" s="39"/>
      <c r="O189" s="39"/>
      <c r="P189" s="39"/>
      <c r="Q189" s="39"/>
      <c r="R189" s="13" t="e">
        <f t="shared" si="2"/>
        <v>#REF!</v>
      </c>
    </row>
    <row r="190" spans="2:18">
      <c r="B190" s="40">
        <v>187</v>
      </c>
      <c r="C190" s="3" t="s">
        <v>287</v>
      </c>
      <c r="D190" s="8" t="s">
        <v>288</v>
      </c>
      <c r="E190" s="10" t="s">
        <v>155</v>
      </c>
      <c r="F190" s="39" t="e">
        <f>SUM(開発費用集計!#REF!:開発費用集計!#REF!)</f>
        <v>#REF!</v>
      </c>
      <c r="G190" s="39"/>
      <c r="H190" s="39"/>
      <c r="I190" s="39"/>
      <c r="J190" s="39"/>
      <c r="K190" s="39"/>
      <c r="L190" s="39"/>
      <c r="M190" s="39"/>
      <c r="N190" s="39"/>
      <c r="O190" s="39"/>
      <c r="P190" s="39"/>
      <c r="Q190" s="39"/>
      <c r="R190" s="13" t="e">
        <f t="shared" si="2"/>
        <v>#REF!</v>
      </c>
    </row>
    <row r="191" spans="2:18">
      <c r="B191" s="40">
        <v>188</v>
      </c>
      <c r="C191" s="3" t="s">
        <v>289</v>
      </c>
      <c r="D191" s="8" t="s">
        <v>290</v>
      </c>
      <c r="E191" s="10" t="s">
        <v>155</v>
      </c>
      <c r="F191" s="39" t="e">
        <f>SUM(開発費用集計!#REF!:開発費用集計!#REF!)</f>
        <v>#REF!</v>
      </c>
      <c r="G191" s="39"/>
      <c r="H191" s="39"/>
      <c r="I191" s="39"/>
      <c r="J191" s="39"/>
      <c r="K191" s="39"/>
      <c r="L191" s="39"/>
      <c r="M191" s="39"/>
      <c r="N191" s="39"/>
      <c r="O191" s="39"/>
      <c r="P191" s="39"/>
      <c r="Q191" s="39"/>
      <c r="R191" s="13" t="e">
        <f t="shared" si="2"/>
        <v>#REF!</v>
      </c>
    </row>
    <row r="192" spans="2:18">
      <c r="B192" s="40">
        <v>189</v>
      </c>
      <c r="C192" s="3" t="s">
        <v>481</v>
      </c>
      <c r="D192" s="8" t="s">
        <v>291</v>
      </c>
      <c r="E192" s="10" t="s">
        <v>156</v>
      </c>
      <c r="F192" s="39" t="e">
        <f>SUM(開発費用集計!#REF!:開発費用集計!#REF!)</f>
        <v>#REF!</v>
      </c>
      <c r="G192" s="39"/>
      <c r="H192" s="39"/>
      <c r="I192" s="39"/>
      <c r="J192" s="39"/>
      <c r="K192" s="39"/>
      <c r="L192" s="39"/>
      <c r="M192" s="39"/>
      <c r="N192" s="39"/>
      <c r="O192" s="39"/>
      <c r="P192" s="39"/>
      <c r="Q192" s="39"/>
      <c r="R192" s="13" t="e">
        <f t="shared" si="2"/>
        <v>#REF!</v>
      </c>
    </row>
    <row r="193" spans="2:18">
      <c r="B193" s="40">
        <v>190</v>
      </c>
      <c r="C193" s="3" t="s">
        <v>292</v>
      </c>
      <c r="D193" s="8" t="s">
        <v>293</v>
      </c>
      <c r="E193" s="10" t="s">
        <v>155</v>
      </c>
      <c r="F193" s="39" t="e">
        <f>SUM(開発費用集計!#REF!:開発費用集計!#REF!)</f>
        <v>#REF!</v>
      </c>
      <c r="G193" s="39"/>
      <c r="H193" s="39"/>
      <c r="I193" s="39"/>
      <c r="J193" s="39"/>
      <c r="K193" s="39"/>
      <c r="L193" s="39"/>
      <c r="M193" s="39"/>
      <c r="N193" s="39"/>
      <c r="O193" s="39"/>
      <c r="P193" s="39"/>
      <c r="Q193" s="39"/>
      <c r="R193" s="13" t="e">
        <f t="shared" si="2"/>
        <v>#REF!</v>
      </c>
    </row>
    <row r="194" spans="2:18">
      <c r="B194" s="40">
        <v>191</v>
      </c>
      <c r="C194" s="3" t="s">
        <v>294</v>
      </c>
      <c r="D194" s="8" t="s">
        <v>295</v>
      </c>
      <c r="E194" s="10" t="s">
        <v>155</v>
      </c>
      <c r="F194" s="39" t="e">
        <f>SUM(開発費用集計!#REF!:開発費用集計!#REF!)</f>
        <v>#REF!</v>
      </c>
      <c r="G194" s="39"/>
      <c r="H194" s="39"/>
      <c r="I194" s="39"/>
      <c r="J194" s="39"/>
      <c r="K194" s="39"/>
      <c r="L194" s="39"/>
      <c r="M194" s="39"/>
      <c r="N194" s="39"/>
      <c r="O194" s="39"/>
      <c r="P194" s="39"/>
      <c r="Q194" s="39"/>
      <c r="R194" s="13" t="e">
        <f t="shared" si="2"/>
        <v>#REF!</v>
      </c>
    </row>
    <row r="195" spans="2:18">
      <c r="B195" s="40">
        <v>192</v>
      </c>
      <c r="C195" s="3" t="s">
        <v>296</v>
      </c>
      <c r="D195" s="8" t="s">
        <v>297</v>
      </c>
      <c r="E195" s="10" t="s">
        <v>155</v>
      </c>
      <c r="F195" s="39" t="e">
        <f>SUM(開発費用集計!#REF!:開発費用集計!#REF!)</f>
        <v>#REF!</v>
      </c>
      <c r="G195" s="39"/>
      <c r="H195" s="39"/>
      <c r="I195" s="39"/>
      <c r="J195" s="39"/>
      <c r="K195" s="39"/>
      <c r="L195" s="39"/>
      <c r="M195" s="39"/>
      <c r="N195" s="39"/>
      <c r="O195" s="39"/>
      <c r="P195" s="39"/>
      <c r="Q195" s="39"/>
      <c r="R195" s="13" t="e">
        <f t="shared" si="2"/>
        <v>#REF!</v>
      </c>
    </row>
    <row r="196" spans="2:18">
      <c r="B196" s="40">
        <v>193</v>
      </c>
      <c r="C196" s="3" t="s">
        <v>298</v>
      </c>
      <c r="D196" s="8" t="s">
        <v>299</v>
      </c>
      <c r="E196" s="10" t="s">
        <v>155</v>
      </c>
      <c r="F196" s="39" t="e">
        <f>SUM(開発費用集計!#REF!:開発費用集計!#REF!)</f>
        <v>#REF!</v>
      </c>
      <c r="G196" s="39"/>
      <c r="H196" s="39"/>
      <c r="I196" s="39"/>
      <c r="J196" s="39"/>
      <c r="K196" s="39"/>
      <c r="L196" s="39"/>
      <c r="M196" s="39"/>
      <c r="N196" s="39"/>
      <c r="O196" s="39"/>
      <c r="P196" s="39"/>
      <c r="Q196" s="39"/>
      <c r="R196" s="13" t="e">
        <f t="shared" si="2"/>
        <v>#REF!</v>
      </c>
    </row>
    <row r="197" spans="2:18">
      <c r="B197" s="40">
        <v>194</v>
      </c>
      <c r="C197" s="3" t="s">
        <v>300</v>
      </c>
      <c r="D197" s="8" t="s">
        <v>301</v>
      </c>
      <c r="E197" s="10" t="s">
        <v>155</v>
      </c>
      <c r="F197" s="39" t="e">
        <f>SUM(開発費用集計!#REF!:開発費用集計!#REF!)</f>
        <v>#REF!</v>
      </c>
      <c r="G197" s="39"/>
      <c r="H197" s="39"/>
      <c r="I197" s="39"/>
      <c r="J197" s="39"/>
      <c r="K197" s="39"/>
      <c r="L197" s="39"/>
      <c r="M197" s="39"/>
      <c r="N197" s="39"/>
      <c r="O197" s="39"/>
      <c r="P197" s="39"/>
      <c r="Q197" s="39"/>
      <c r="R197" s="13" t="e">
        <f t="shared" si="2"/>
        <v>#REF!</v>
      </c>
    </row>
    <row r="198" spans="2:18">
      <c r="B198" s="40">
        <v>195</v>
      </c>
      <c r="C198" s="3" t="s">
        <v>302</v>
      </c>
      <c r="D198" s="8" t="s">
        <v>443</v>
      </c>
      <c r="E198" s="10" t="s">
        <v>156</v>
      </c>
      <c r="F198" s="39" t="e">
        <f>SUM(開発費用集計!#REF!:開発費用集計!#REF!)</f>
        <v>#REF!</v>
      </c>
      <c r="G198" s="39"/>
      <c r="H198" s="39"/>
      <c r="I198" s="39"/>
      <c r="J198" s="39"/>
      <c r="K198" s="39"/>
      <c r="L198" s="39"/>
      <c r="M198" s="39"/>
      <c r="N198" s="39"/>
      <c r="O198" s="39"/>
      <c r="P198" s="39"/>
      <c r="Q198" s="39"/>
      <c r="R198" s="13" t="e">
        <f t="shared" ref="R198:R225" si="3">SUM(F198:L198)</f>
        <v>#REF!</v>
      </c>
    </row>
    <row r="199" spans="2:18">
      <c r="B199" s="17">
        <v>196</v>
      </c>
      <c r="C199" s="7" t="s">
        <v>303</v>
      </c>
      <c r="D199" s="8" t="s">
        <v>304</v>
      </c>
      <c r="E199" s="10" t="s">
        <v>156</v>
      </c>
      <c r="F199" s="39" t="e">
        <f>SUM(開発費用集計!#REF!:開発費用集計!#REF!)</f>
        <v>#REF!</v>
      </c>
      <c r="G199" s="39"/>
      <c r="H199" s="39"/>
      <c r="I199" s="39"/>
      <c r="J199" s="39"/>
      <c r="K199" s="39"/>
      <c r="L199" s="39"/>
      <c r="M199" s="39"/>
      <c r="N199" s="39"/>
      <c r="O199" s="39"/>
      <c r="P199" s="39"/>
      <c r="Q199" s="39"/>
      <c r="R199" s="13" t="e">
        <f t="shared" si="3"/>
        <v>#REF!</v>
      </c>
    </row>
    <row r="200" spans="2:18">
      <c r="B200" s="17">
        <v>197</v>
      </c>
      <c r="C200" s="7" t="s">
        <v>305</v>
      </c>
      <c r="D200" s="8" t="s">
        <v>306</v>
      </c>
      <c r="E200" s="10" t="s">
        <v>156</v>
      </c>
      <c r="F200" s="39" t="e">
        <f>SUM(開発費用集計!#REF!:開発費用集計!#REF!)</f>
        <v>#REF!</v>
      </c>
      <c r="G200" s="39"/>
      <c r="H200" s="39"/>
      <c r="I200" s="39"/>
      <c r="J200" s="39"/>
      <c r="K200" s="39"/>
      <c r="L200" s="39"/>
      <c r="M200" s="39"/>
      <c r="N200" s="39"/>
      <c r="O200" s="39"/>
      <c r="P200" s="39"/>
      <c r="Q200" s="39"/>
      <c r="R200" s="13" t="e">
        <f t="shared" si="3"/>
        <v>#REF!</v>
      </c>
    </row>
    <row r="201" spans="2:18">
      <c r="B201" s="17">
        <v>198</v>
      </c>
      <c r="C201" s="7" t="s">
        <v>307</v>
      </c>
      <c r="D201" s="8" t="s">
        <v>308</v>
      </c>
      <c r="E201" s="10" t="s">
        <v>155</v>
      </c>
      <c r="F201" s="39" t="e">
        <f>SUM(開発費用集計!#REF!:開発費用集計!#REF!)</f>
        <v>#REF!</v>
      </c>
      <c r="G201" s="39"/>
      <c r="H201" s="39"/>
      <c r="I201" s="39"/>
      <c r="J201" s="39"/>
      <c r="K201" s="39"/>
      <c r="L201" s="39"/>
      <c r="M201" s="39"/>
      <c r="N201" s="39"/>
      <c r="O201" s="39"/>
      <c r="P201" s="39"/>
      <c r="Q201" s="39"/>
      <c r="R201" s="13" t="e">
        <f t="shared" si="3"/>
        <v>#REF!</v>
      </c>
    </row>
    <row r="202" spans="2:18">
      <c r="B202" s="10">
        <v>199</v>
      </c>
      <c r="C202" s="7" t="s">
        <v>309</v>
      </c>
      <c r="D202" s="3" t="s">
        <v>310</v>
      </c>
      <c r="E202" s="10" t="s">
        <v>155</v>
      </c>
      <c r="F202" s="39" t="e">
        <f>SUM(開発費用集計!#REF!:開発費用集計!#REF!)</f>
        <v>#REF!</v>
      </c>
      <c r="G202" s="39"/>
      <c r="H202" s="39"/>
      <c r="I202" s="39"/>
      <c r="J202" s="39"/>
      <c r="K202" s="39"/>
      <c r="L202" s="39"/>
      <c r="M202" s="39"/>
      <c r="N202" s="39"/>
      <c r="O202" s="39"/>
      <c r="P202" s="39"/>
      <c r="Q202" s="39"/>
      <c r="R202" s="13" t="e">
        <f t="shared" si="3"/>
        <v>#REF!</v>
      </c>
    </row>
    <row r="203" spans="2:18">
      <c r="B203" s="10">
        <v>200</v>
      </c>
      <c r="C203" s="3" t="s">
        <v>311</v>
      </c>
      <c r="D203" s="3" t="s">
        <v>312</v>
      </c>
      <c r="E203" s="10" t="s">
        <v>156</v>
      </c>
      <c r="F203" s="39" t="e">
        <f>SUM(開発費用集計!#REF!:開発費用集計!#REF!)</f>
        <v>#REF!</v>
      </c>
      <c r="G203" s="39"/>
      <c r="H203" s="39"/>
      <c r="I203" s="39"/>
      <c r="J203" s="39"/>
      <c r="K203" s="39"/>
      <c r="L203" s="39"/>
      <c r="M203" s="39"/>
      <c r="N203" s="39"/>
      <c r="O203" s="39"/>
      <c r="P203" s="39"/>
      <c r="Q203" s="39"/>
      <c r="R203" s="13" t="e">
        <f t="shared" si="3"/>
        <v>#REF!</v>
      </c>
    </row>
    <row r="204" spans="2:18">
      <c r="B204" s="10">
        <v>201</v>
      </c>
      <c r="C204" s="4" t="s">
        <v>313</v>
      </c>
      <c r="D204" s="7" t="s">
        <v>314</v>
      </c>
      <c r="E204" s="10" t="s">
        <v>156</v>
      </c>
      <c r="F204" s="39" t="e">
        <f>SUM(開発費用集計!#REF!:開発費用集計!#REF!)</f>
        <v>#REF!</v>
      </c>
      <c r="G204" s="39"/>
      <c r="H204" s="39"/>
      <c r="I204" s="39"/>
      <c r="J204" s="39"/>
      <c r="K204" s="39"/>
      <c r="L204" s="39"/>
      <c r="M204" s="39"/>
      <c r="N204" s="39"/>
      <c r="O204" s="39"/>
      <c r="P204" s="39"/>
      <c r="Q204" s="39"/>
      <c r="R204" s="13" t="e">
        <f t="shared" si="3"/>
        <v>#REF!</v>
      </c>
    </row>
    <row r="205" spans="2:18">
      <c r="B205" s="10">
        <v>202</v>
      </c>
      <c r="C205" s="7" t="s">
        <v>482</v>
      </c>
      <c r="D205" s="3" t="s">
        <v>315</v>
      </c>
      <c r="E205" s="10" t="s">
        <v>155</v>
      </c>
      <c r="F205" s="39" t="e">
        <f>SUM(開発費用集計!#REF!:開発費用集計!#REF!)</f>
        <v>#REF!</v>
      </c>
      <c r="G205" s="39"/>
      <c r="H205" s="39"/>
      <c r="I205" s="39"/>
      <c r="J205" s="39"/>
      <c r="K205" s="39"/>
      <c r="L205" s="39"/>
      <c r="M205" s="39"/>
      <c r="N205" s="39"/>
      <c r="O205" s="39"/>
      <c r="P205" s="39"/>
      <c r="Q205" s="39"/>
      <c r="R205" s="13" t="e">
        <f t="shared" si="3"/>
        <v>#REF!</v>
      </c>
    </row>
    <row r="206" spans="2:18">
      <c r="B206" s="10">
        <v>203</v>
      </c>
      <c r="C206" s="3" t="s">
        <v>316</v>
      </c>
      <c r="D206" s="3" t="s">
        <v>317</v>
      </c>
      <c r="E206" s="10" t="s">
        <v>156</v>
      </c>
      <c r="F206" s="39" t="e">
        <f>SUM(開発費用集計!#REF!:開発費用集計!#REF!)</f>
        <v>#REF!</v>
      </c>
      <c r="G206" s="39"/>
      <c r="H206" s="39"/>
      <c r="I206" s="39"/>
      <c r="J206" s="39"/>
      <c r="K206" s="39"/>
      <c r="L206" s="39"/>
      <c r="M206" s="39"/>
      <c r="N206" s="39"/>
      <c r="O206" s="39"/>
      <c r="P206" s="39"/>
      <c r="Q206" s="39"/>
      <c r="R206" s="13" t="e">
        <f t="shared" si="3"/>
        <v>#REF!</v>
      </c>
    </row>
    <row r="207" spans="2:18">
      <c r="B207" s="10">
        <v>204</v>
      </c>
      <c r="C207" s="3" t="s">
        <v>318</v>
      </c>
      <c r="D207" s="3" t="s">
        <v>319</v>
      </c>
      <c r="E207" s="10" t="s">
        <v>156</v>
      </c>
      <c r="F207" s="39" t="e">
        <f>SUM(開発費用集計!#REF!:開発費用集計!#REF!)</f>
        <v>#REF!</v>
      </c>
      <c r="G207" s="39"/>
      <c r="H207" s="39"/>
      <c r="I207" s="39"/>
      <c r="J207" s="39"/>
      <c r="K207" s="39"/>
      <c r="L207" s="39"/>
      <c r="M207" s="39"/>
      <c r="N207" s="39"/>
      <c r="O207" s="39"/>
      <c r="P207" s="39"/>
      <c r="Q207" s="39"/>
      <c r="R207" s="13" t="e">
        <f t="shared" si="3"/>
        <v>#REF!</v>
      </c>
    </row>
    <row r="208" spans="2:18">
      <c r="B208" s="10">
        <v>205</v>
      </c>
      <c r="C208" s="3" t="s">
        <v>320</v>
      </c>
      <c r="D208" s="3" t="s">
        <v>321</v>
      </c>
      <c r="E208" s="10" t="s">
        <v>155</v>
      </c>
      <c r="F208" s="39" t="e">
        <f>SUM(開発費用集計!#REF!:開発費用集計!#REF!)</f>
        <v>#REF!</v>
      </c>
      <c r="G208" s="39"/>
      <c r="H208" s="39"/>
      <c r="I208" s="39"/>
      <c r="J208" s="39"/>
      <c r="K208" s="39"/>
      <c r="L208" s="39"/>
      <c r="M208" s="39"/>
      <c r="N208" s="39"/>
      <c r="O208" s="39"/>
      <c r="P208" s="39"/>
      <c r="Q208" s="39"/>
      <c r="R208" s="13" t="e">
        <f t="shared" si="3"/>
        <v>#REF!</v>
      </c>
    </row>
    <row r="209" spans="2:18">
      <c r="B209" s="10">
        <v>206</v>
      </c>
      <c r="C209" s="3" t="s">
        <v>322</v>
      </c>
      <c r="D209" s="3" t="s">
        <v>323</v>
      </c>
      <c r="E209" s="10" t="s">
        <v>155</v>
      </c>
      <c r="F209" s="39" t="e">
        <f>SUM(開発費用集計!#REF!:開発費用集計!#REF!)</f>
        <v>#REF!</v>
      </c>
      <c r="G209" s="39"/>
      <c r="H209" s="39"/>
      <c r="I209" s="39"/>
      <c r="J209" s="39"/>
      <c r="K209" s="39"/>
      <c r="L209" s="39"/>
      <c r="M209" s="39"/>
      <c r="N209" s="39"/>
      <c r="O209" s="39"/>
      <c r="P209" s="39"/>
      <c r="Q209" s="39"/>
      <c r="R209" s="13" t="e">
        <f t="shared" si="3"/>
        <v>#REF!</v>
      </c>
    </row>
    <row r="210" spans="2:18">
      <c r="B210" s="10">
        <v>207</v>
      </c>
      <c r="C210" s="4" t="s">
        <v>324</v>
      </c>
      <c r="D210" s="4" t="s">
        <v>325</v>
      </c>
      <c r="E210" s="10" t="s">
        <v>155</v>
      </c>
      <c r="F210" s="39" t="e">
        <f>SUM(開発費用集計!#REF!:開発費用集計!#REF!)</f>
        <v>#REF!</v>
      </c>
      <c r="G210" s="39"/>
      <c r="H210" s="39"/>
      <c r="I210" s="39"/>
      <c r="J210" s="39"/>
      <c r="K210" s="39"/>
      <c r="L210" s="39"/>
      <c r="M210" s="39"/>
      <c r="N210" s="39"/>
      <c r="O210" s="39"/>
      <c r="P210" s="39"/>
      <c r="Q210" s="39"/>
      <c r="R210" s="13" t="e">
        <f t="shared" si="3"/>
        <v>#REF!</v>
      </c>
    </row>
    <row r="211" spans="2:18">
      <c r="B211" s="10">
        <v>208</v>
      </c>
      <c r="C211" s="3" t="s">
        <v>326</v>
      </c>
      <c r="D211" s="7" t="s">
        <v>327</v>
      </c>
      <c r="E211" s="10" t="s">
        <v>155</v>
      </c>
      <c r="F211" s="39" t="e">
        <f>SUM(開発費用集計!#REF!:開発費用集計!#REF!)</f>
        <v>#REF!</v>
      </c>
      <c r="G211" s="39"/>
      <c r="H211" s="39"/>
      <c r="I211" s="39"/>
      <c r="J211" s="39"/>
      <c r="K211" s="39"/>
      <c r="L211" s="39"/>
      <c r="M211" s="39"/>
      <c r="N211" s="39"/>
      <c r="O211" s="39"/>
      <c r="P211" s="39"/>
      <c r="Q211" s="39"/>
      <c r="R211" s="13" t="e">
        <f t="shared" si="3"/>
        <v>#REF!</v>
      </c>
    </row>
    <row r="212" spans="2:18">
      <c r="B212" s="17">
        <v>209</v>
      </c>
      <c r="C212" s="7" t="s">
        <v>328</v>
      </c>
      <c r="D212" s="8" t="s">
        <v>329</v>
      </c>
      <c r="E212" s="10" t="s">
        <v>155</v>
      </c>
      <c r="F212" s="39" t="e">
        <f>SUM(開発費用集計!#REF!:開発費用集計!#REF!)</f>
        <v>#REF!</v>
      </c>
      <c r="G212" s="39"/>
      <c r="H212" s="39"/>
      <c r="I212" s="39"/>
      <c r="J212" s="39"/>
      <c r="K212" s="39"/>
      <c r="L212" s="39"/>
      <c r="M212" s="39"/>
      <c r="N212" s="39"/>
      <c r="O212" s="39"/>
      <c r="P212" s="39"/>
      <c r="Q212" s="39"/>
      <c r="R212" s="13" t="e">
        <f t="shared" si="3"/>
        <v>#REF!</v>
      </c>
    </row>
    <row r="213" spans="2:18">
      <c r="B213" s="17">
        <v>210</v>
      </c>
      <c r="C213" s="7" t="s">
        <v>330</v>
      </c>
      <c r="D213" s="8" t="s">
        <v>331</v>
      </c>
      <c r="E213" s="10" t="s">
        <v>155</v>
      </c>
      <c r="F213" s="39" t="e">
        <f>SUM(開発費用集計!#REF!:開発費用集計!#REF!)</f>
        <v>#REF!</v>
      </c>
      <c r="G213" s="39"/>
      <c r="H213" s="39"/>
      <c r="I213" s="39"/>
      <c r="J213" s="39"/>
      <c r="K213" s="39"/>
      <c r="L213" s="39"/>
      <c r="M213" s="39"/>
      <c r="N213" s="39"/>
      <c r="O213" s="39"/>
      <c r="P213" s="39"/>
      <c r="Q213" s="39"/>
      <c r="R213" s="13" t="e">
        <f t="shared" si="3"/>
        <v>#REF!</v>
      </c>
    </row>
    <row r="214" spans="2:18">
      <c r="B214" s="10">
        <v>211</v>
      </c>
      <c r="C214" s="7" t="s">
        <v>332</v>
      </c>
      <c r="D214" s="3" t="s">
        <v>333</v>
      </c>
      <c r="E214" s="10" t="s">
        <v>155</v>
      </c>
      <c r="F214" s="39" t="e">
        <f>SUM(開発費用集計!#REF!:開発費用集計!#REF!)</f>
        <v>#REF!</v>
      </c>
      <c r="G214" s="39"/>
      <c r="H214" s="39"/>
      <c r="I214" s="39"/>
      <c r="J214" s="39"/>
      <c r="K214" s="39"/>
      <c r="L214" s="39"/>
      <c r="M214" s="39"/>
      <c r="N214" s="39"/>
      <c r="O214" s="39"/>
      <c r="P214" s="39"/>
      <c r="Q214" s="39"/>
      <c r="R214" s="13" t="e">
        <f t="shared" si="3"/>
        <v>#REF!</v>
      </c>
    </row>
    <row r="215" spans="2:18">
      <c r="B215" s="10">
        <v>212</v>
      </c>
      <c r="C215" s="3" t="s">
        <v>334</v>
      </c>
      <c r="D215" s="3" t="s">
        <v>335</v>
      </c>
      <c r="E215" s="10" t="s">
        <v>155</v>
      </c>
      <c r="F215" s="39" t="e">
        <f>SUM(開発費用集計!#REF!:開発費用集計!#REF!)</f>
        <v>#REF!</v>
      </c>
      <c r="G215" s="39"/>
      <c r="H215" s="39"/>
      <c r="I215" s="39"/>
      <c r="J215" s="39"/>
      <c r="K215" s="39"/>
      <c r="L215" s="39"/>
      <c r="M215" s="39"/>
      <c r="N215" s="39"/>
      <c r="O215" s="39"/>
      <c r="P215" s="39"/>
      <c r="Q215" s="39"/>
      <c r="R215" s="13" t="e">
        <f t="shared" si="3"/>
        <v>#REF!</v>
      </c>
    </row>
    <row r="216" spans="2:18">
      <c r="B216" s="10">
        <v>213</v>
      </c>
      <c r="C216" s="4" t="s">
        <v>336</v>
      </c>
      <c r="D216" s="7" t="s">
        <v>337</v>
      </c>
      <c r="E216" s="10" t="s">
        <v>156</v>
      </c>
      <c r="F216" s="39" t="e">
        <f>SUM(開発費用集計!#REF!:開発費用集計!#REF!)</f>
        <v>#REF!</v>
      </c>
      <c r="G216" s="39"/>
      <c r="H216" s="39"/>
      <c r="I216" s="39"/>
      <c r="J216" s="39"/>
      <c r="K216" s="39"/>
      <c r="L216" s="39"/>
      <c r="M216" s="39"/>
      <c r="N216" s="39"/>
      <c r="O216" s="39"/>
      <c r="P216" s="39"/>
      <c r="Q216" s="39"/>
      <c r="R216" s="13" t="e">
        <f t="shared" si="3"/>
        <v>#REF!</v>
      </c>
    </row>
    <row r="217" spans="2:18">
      <c r="B217" s="10">
        <v>214</v>
      </c>
      <c r="C217" s="7" t="s">
        <v>338</v>
      </c>
      <c r="D217" s="3" t="s">
        <v>339</v>
      </c>
      <c r="E217" s="10" t="s">
        <v>156</v>
      </c>
      <c r="F217" s="39" t="e">
        <f>SUM(開発費用集計!#REF!:開発費用集計!#REF!)</f>
        <v>#REF!</v>
      </c>
      <c r="G217" s="39"/>
      <c r="H217" s="39"/>
      <c r="I217" s="39"/>
      <c r="J217" s="39"/>
      <c r="K217" s="39"/>
      <c r="L217" s="39"/>
      <c r="M217" s="39"/>
      <c r="N217" s="39"/>
      <c r="O217" s="39"/>
      <c r="P217" s="39"/>
      <c r="Q217" s="39"/>
      <c r="R217" s="13" t="e">
        <f t="shared" si="3"/>
        <v>#REF!</v>
      </c>
    </row>
    <row r="218" spans="2:18">
      <c r="B218" s="10">
        <v>215</v>
      </c>
      <c r="C218" s="3" t="s">
        <v>340</v>
      </c>
      <c r="D218" s="3" t="s">
        <v>341</v>
      </c>
      <c r="E218" s="10" t="s">
        <v>156</v>
      </c>
      <c r="F218" s="39" t="e">
        <f>SUM(開発費用集計!#REF!:開発費用集計!#REF!)</f>
        <v>#REF!</v>
      </c>
      <c r="G218" s="39"/>
      <c r="H218" s="39"/>
      <c r="I218" s="39"/>
      <c r="J218" s="39"/>
      <c r="K218" s="39"/>
      <c r="L218" s="39"/>
      <c r="M218" s="39"/>
      <c r="N218" s="39"/>
      <c r="O218" s="39"/>
      <c r="P218" s="39"/>
      <c r="Q218" s="39"/>
      <c r="R218" s="13" t="e">
        <f t="shared" si="3"/>
        <v>#REF!</v>
      </c>
    </row>
    <row r="219" spans="2:18">
      <c r="B219" s="10">
        <v>216</v>
      </c>
      <c r="C219" s="3" t="s">
        <v>342</v>
      </c>
      <c r="D219" s="3" t="s">
        <v>343</v>
      </c>
      <c r="E219" s="10" t="s">
        <v>155</v>
      </c>
      <c r="F219" s="39" t="e">
        <f>SUM(開発費用集計!#REF!:開発費用集計!#REF!)</f>
        <v>#REF!</v>
      </c>
      <c r="G219" s="39"/>
      <c r="H219" s="39"/>
      <c r="I219" s="39"/>
      <c r="J219" s="39"/>
      <c r="K219" s="39"/>
      <c r="L219" s="39"/>
      <c r="M219" s="39"/>
      <c r="N219" s="39"/>
      <c r="O219" s="39"/>
      <c r="P219" s="39"/>
      <c r="Q219" s="39"/>
      <c r="R219" s="13" t="e">
        <f t="shared" si="3"/>
        <v>#REF!</v>
      </c>
    </row>
    <row r="220" spans="2:18">
      <c r="B220" s="10">
        <v>217</v>
      </c>
      <c r="C220" s="3" t="s">
        <v>344</v>
      </c>
      <c r="D220" s="3" t="s">
        <v>345</v>
      </c>
      <c r="E220" s="10" t="s">
        <v>156</v>
      </c>
      <c r="F220" s="39" t="e">
        <f>SUM(開発費用集計!#REF!:開発費用集計!#REF!)</f>
        <v>#REF!</v>
      </c>
      <c r="G220" s="39"/>
      <c r="H220" s="39"/>
      <c r="I220" s="39"/>
      <c r="J220" s="39"/>
      <c r="K220" s="39"/>
      <c r="L220" s="39"/>
      <c r="M220" s="39"/>
      <c r="N220" s="39"/>
      <c r="O220" s="39"/>
      <c r="P220" s="39"/>
      <c r="Q220" s="39"/>
      <c r="R220" s="13" t="e">
        <f t="shared" si="3"/>
        <v>#REF!</v>
      </c>
    </row>
    <row r="221" spans="2:18">
      <c r="B221" s="10">
        <v>218</v>
      </c>
      <c r="C221" s="3" t="s">
        <v>346</v>
      </c>
      <c r="D221" s="3" t="s">
        <v>347</v>
      </c>
      <c r="E221" s="10" t="s">
        <v>156</v>
      </c>
      <c r="F221" s="39" t="e">
        <f>SUM(開発費用集計!#REF!:開発費用集計!#REF!)</f>
        <v>#REF!</v>
      </c>
      <c r="G221" s="39"/>
      <c r="H221" s="39"/>
      <c r="I221" s="39"/>
      <c r="J221" s="39"/>
      <c r="K221" s="39"/>
      <c r="L221" s="39"/>
      <c r="M221" s="39"/>
      <c r="N221" s="39"/>
      <c r="O221" s="39"/>
      <c r="P221" s="39"/>
      <c r="Q221" s="39"/>
      <c r="R221" s="13" t="e">
        <f t="shared" si="3"/>
        <v>#REF!</v>
      </c>
    </row>
    <row r="222" spans="2:18">
      <c r="B222" s="10">
        <v>219</v>
      </c>
      <c r="C222" s="4" t="s">
        <v>348</v>
      </c>
      <c r="D222" s="4" t="s">
        <v>349</v>
      </c>
      <c r="E222" s="10" t="s">
        <v>155</v>
      </c>
      <c r="F222" s="39" t="e">
        <f>SUM(開発費用集計!#REF!:開発費用集計!#REF!)</f>
        <v>#REF!</v>
      </c>
      <c r="G222" s="39"/>
      <c r="H222" s="39"/>
      <c r="I222" s="39"/>
      <c r="J222" s="39"/>
      <c r="K222" s="39"/>
      <c r="L222" s="39"/>
      <c r="M222" s="39"/>
      <c r="N222" s="39"/>
      <c r="O222" s="39"/>
      <c r="P222" s="39"/>
      <c r="Q222" s="39"/>
      <c r="R222" s="13" t="e">
        <f t="shared" si="3"/>
        <v>#REF!</v>
      </c>
    </row>
    <row r="223" spans="2:18">
      <c r="B223" s="10">
        <v>220</v>
      </c>
      <c r="C223" s="3" t="s">
        <v>352</v>
      </c>
      <c r="D223" s="7" t="s">
        <v>351</v>
      </c>
      <c r="E223" s="10" t="s">
        <v>156</v>
      </c>
      <c r="F223" s="39" t="e">
        <f>SUM(開発費用集計!#REF!:開発費用集計!#REF!)</f>
        <v>#REF!</v>
      </c>
      <c r="G223" s="39"/>
      <c r="H223" s="39"/>
      <c r="I223" s="39"/>
      <c r="J223" s="39"/>
      <c r="K223" s="39"/>
      <c r="L223" s="39"/>
      <c r="M223" s="39"/>
      <c r="N223" s="39"/>
      <c r="O223" s="39"/>
      <c r="P223" s="39"/>
      <c r="Q223" s="39"/>
      <c r="R223" s="13" t="e">
        <f t="shared" si="3"/>
        <v>#REF!</v>
      </c>
    </row>
    <row r="224" spans="2:18">
      <c r="B224" s="10">
        <v>221</v>
      </c>
      <c r="C224" s="4" t="s">
        <v>354</v>
      </c>
      <c r="D224" s="7" t="s">
        <v>353</v>
      </c>
      <c r="E224" s="10" t="s">
        <v>156</v>
      </c>
      <c r="F224" s="39" t="e">
        <f>SUM(開発費用集計!#REF!:開発費用集計!#REF!)</f>
        <v>#REF!</v>
      </c>
      <c r="G224" s="39"/>
      <c r="H224" s="39"/>
      <c r="I224" s="39"/>
      <c r="J224" s="39"/>
      <c r="K224" s="39"/>
      <c r="L224" s="39"/>
      <c r="M224" s="39"/>
      <c r="N224" s="39"/>
      <c r="O224" s="39"/>
      <c r="P224" s="39"/>
      <c r="Q224" s="39"/>
      <c r="R224" s="13" t="e">
        <f t="shared" si="3"/>
        <v>#REF!</v>
      </c>
    </row>
    <row r="225" spans="2:18" ht="12.75" thickBot="1">
      <c r="B225" s="17"/>
      <c r="C225" s="7"/>
      <c r="D225" s="7"/>
      <c r="E225" s="10"/>
      <c r="F225" s="13"/>
      <c r="G225" s="13"/>
      <c r="H225" s="13"/>
      <c r="I225" s="13"/>
      <c r="J225" s="17"/>
      <c r="K225" s="17"/>
      <c r="L225" s="17"/>
      <c r="M225" s="17"/>
      <c r="N225" s="17"/>
      <c r="O225" s="17"/>
      <c r="P225" s="17"/>
      <c r="Q225" s="17"/>
      <c r="R225" s="13">
        <f t="shared" si="3"/>
        <v>0</v>
      </c>
    </row>
    <row r="226" spans="2:18" ht="12.75" thickTop="1">
      <c r="B226" s="41"/>
      <c r="C226" s="41" t="s">
        <v>26</v>
      </c>
      <c r="D226" s="41"/>
      <c r="E226" s="41"/>
      <c r="F226" s="42" t="e">
        <f t="shared" ref="F226:Q226" si="4">SUM(F4:F224)</f>
        <v>#REF!</v>
      </c>
      <c r="G226" s="42">
        <f t="shared" si="4"/>
        <v>0</v>
      </c>
      <c r="H226" s="42">
        <f t="shared" si="4"/>
        <v>0</v>
      </c>
      <c r="I226" s="42">
        <f t="shared" si="4"/>
        <v>0</v>
      </c>
      <c r="J226" s="42">
        <f t="shared" si="4"/>
        <v>0</v>
      </c>
      <c r="K226" s="42">
        <f t="shared" si="4"/>
        <v>0</v>
      </c>
      <c r="L226" s="42">
        <f t="shared" si="4"/>
        <v>0</v>
      </c>
      <c r="M226" s="42">
        <f t="shared" si="4"/>
        <v>0</v>
      </c>
      <c r="N226" s="42">
        <f t="shared" si="4"/>
        <v>0</v>
      </c>
      <c r="O226" s="42">
        <f t="shared" si="4"/>
        <v>0</v>
      </c>
      <c r="P226" s="42">
        <f t="shared" si="4"/>
        <v>0</v>
      </c>
      <c r="Q226" s="42">
        <f t="shared" si="4"/>
        <v>0</v>
      </c>
      <c r="R226" s="42" t="e">
        <f>SUM(R4:R224)</f>
        <v>#REF!</v>
      </c>
    </row>
    <row r="227" spans="2:18">
      <c r="B227" s="14"/>
      <c r="C227" s="14" t="s">
        <v>153</v>
      </c>
      <c r="D227" s="14"/>
      <c r="E227" s="14"/>
      <c r="F227" s="15" t="e">
        <f>開発費用集計!#REF!+開発費用集計!#REF!+開発費用集計!#REF!+開発費用集計!#REF!+開発費用集計!#REF!+開発費用集計!#REF!+開発費用集計!#REF!+開発費用集計!#REF!+開発費用集計!#REF!+開発費用集計!#REF!+開発費用集計!#REF!+開発費用集計!#REF!</f>
        <v>#REF!</v>
      </c>
      <c r="G227" s="15" t="e">
        <f>開発費用集計!#REF!+開発費用集計!#REF!+開発費用集計!#REF!+開発費用集計!#REF!+開発費用集計!#REF!+開発費用集計!#REF!+開発費用集計!#REF!+開発費用集計!#REF!+開発費用集計!#REF!+開発費用集計!#REF!+開発費用集計!#REF!+開発費用集計!#REF!</f>
        <v>#REF!</v>
      </c>
      <c r="H227" s="15" t="e">
        <f>開発費用集計!#REF!+開発費用集計!#REF!+開発費用集計!#REF!+開発費用集計!#REF!+開発費用集計!#REF!+開発費用集計!#REF!+開発費用集計!#REF!+開発費用集計!#REF!+開発費用集計!#REF!+開発費用集計!#REF!+開発費用集計!#REF!+開発費用集計!#REF!</f>
        <v>#REF!</v>
      </c>
      <c r="I227" s="15" t="e">
        <f>開発費用集計!#REF!+開発費用集計!#REF!+開発費用集計!#REF!+開発費用集計!#REF!+開発費用集計!#REF!+開発費用集計!#REF!+開発費用集計!#REF!+開発費用集計!#REF!+開発費用集計!#REF!+開発費用集計!#REF!+開発費用集計!#REF!+開発費用集計!#REF!</f>
        <v>#REF!</v>
      </c>
      <c r="J227" s="15" t="e">
        <f>開発費用集計!#REF!+開発費用集計!#REF!+開発費用集計!#REF!+開発費用集計!#REF!+開発費用集計!#REF!+開発費用集計!#REF!+開発費用集計!#REF!+開発費用集計!#REF!+開発費用集計!#REF!+開発費用集計!#REF!+開発費用集計!#REF!+開発費用集計!#REF!</f>
        <v>#REF!</v>
      </c>
      <c r="K227" s="15" t="e">
        <f>開発費用集計!#REF!+開発費用集計!#REF!+開発費用集計!#REF!+開発費用集計!#REF!+開発費用集計!#REF!+開発費用集計!#REF!+開発費用集計!#REF!+開発費用集計!#REF!+開発費用集計!#REF!+開発費用集計!#REF!+開発費用集計!#REF!+開発費用集計!#REF!</f>
        <v>#REF!</v>
      </c>
      <c r="L227" s="15" t="e">
        <f>開発費用集計!#REF!+開発費用集計!#REF!+開発費用集計!#REF!+開発費用集計!#REF!+開発費用集計!#REF!+開発費用集計!#REF!+開発費用集計!#REF!+開発費用集計!#REF!+開発費用集計!#REF!+開発費用集計!#REF!+開発費用集計!#REF!+開発費用集計!#REF!</f>
        <v>#REF!</v>
      </c>
      <c r="M227" s="15" t="e">
        <f>開発費用集計!#REF!+開発費用集計!#REF!+開発費用集計!#REF!+開発費用集計!#REF!+開発費用集計!#REF!+開発費用集計!#REF!+開発費用集計!#REF!+開発費用集計!#REF!+開発費用集計!#REF!+開発費用集計!#REF!+開発費用集計!#REF!+開発費用集計!#REF!</f>
        <v>#REF!</v>
      </c>
      <c r="N227" s="15" t="e">
        <f>開発費用集計!#REF!+開発費用集計!#REF!+開発費用集計!#REF!+開発費用集計!#REF!+開発費用集計!#REF!+開発費用集計!#REF!+開発費用集計!#REF!+開発費用集計!#REF!+開発費用集計!#REF!+開発費用集計!#REF!+開発費用集計!#REF!+開発費用集計!#REF!</f>
        <v>#REF!</v>
      </c>
      <c r="O227" s="15" t="e">
        <f>開発費用集計!#REF!+開発費用集計!#REF!+開発費用集計!#REF!+開発費用集計!#REF!+開発費用集計!#REF!+開発費用集計!#REF!+開発費用集計!#REF!+開発費用集計!#REF!+開発費用集計!#REF!+開発費用集計!#REF!+開発費用集計!#REF!+開発費用集計!#REF!</f>
        <v>#REF!</v>
      </c>
      <c r="P227" s="15" t="e">
        <f>開発費用集計!#REF!+開発費用集計!#REF!+開発費用集計!#REF!+開発費用集計!#REF!+開発費用集計!#REF!+開発費用集計!#REF!+開発費用集計!#REF!+開発費用集計!#REF!+開発費用集計!#REF!+開発費用集計!#REF!+開発費用集計!#REF!+開発費用集計!#REF!</f>
        <v>#REF!</v>
      </c>
      <c r="Q227" s="15" t="e">
        <f>開発費用集計!#REF!+開発費用集計!#REF!+開発費用集計!#REF!+開発費用集計!#REF!+開発費用集計!#REF!+開発費用集計!#REF!+開発費用集計!#REF!+開発費用集計!#REF!+開発費用集計!#REF!+開発費用集計!#REF!+開発費用集計!#REF!+開発費用集計!#REF!</f>
        <v>#REF!</v>
      </c>
      <c r="R227" s="15" t="e">
        <f>開発費用集計!#REF!+開発費用集計!#REF!+開発費用集計!#REF!+開発費用集計!#REF!+開発費用集計!#REF!+開発費用集計!#REF!+開発費用集計!#REF!+開発費用集計!#REF!+開発費用集計!#REF!+開発費用集計!#REF!+開発費用集計!#REF!+開発費用集計!#REF!</f>
        <v>#REF!</v>
      </c>
    </row>
    <row r="228" spans="2:18">
      <c r="L228" s="9" t="s">
        <v>483</v>
      </c>
    </row>
    <row r="229" spans="2:18">
      <c r="L229" s="9" t="s">
        <v>484</v>
      </c>
    </row>
    <row r="230" spans="2:18">
      <c r="L230" s="9" t="s">
        <v>485</v>
      </c>
    </row>
    <row r="231" spans="2:18">
      <c r="L231" s="9" t="s">
        <v>486</v>
      </c>
    </row>
    <row r="232" spans="2:18">
      <c r="L232" s="9" t="s">
        <v>487</v>
      </c>
    </row>
    <row r="233" spans="2:18">
      <c r="L233" s="9" t="s">
        <v>488</v>
      </c>
    </row>
  </sheetData>
  <mergeCells count="5">
    <mergeCell ref="B2:B3"/>
    <mergeCell ref="C2:C3"/>
    <mergeCell ref="D2:D3"/>
    <mergeCell ref="E2:E3"/>
    <mergeCell ref="F2:R2"/>
  </mergeCells>
  <phoneticPr fontId="3"/>
  <dataValidations count="1">
    <dataValidation type="list" allowBlank="1" showInputMessage="1" showErrorMessage="1" sqref="E4:E225">
      <formula1>"未対応,対応中,完了"</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20"/>
  <sheetViews>
    <sheetView tabSelected="1" zoomScale="85" zoomScaleNormal="85" workbookViewId="0">
      <selection activeCell="E23" sqref="E22:E23"/>
    </sheetView>
  </sheetViews>
  <sheetFormatPr defaultColWidth="8.875" defaultRowHeight="13.5"/>
  <cols>
    <col min="1" max="1" width="11.625" bestFit="1" customWidth="1"/>
    <col min="2" max="2" width="14.125" style="2" customWidth="1"/>
    <col min="3" max="4" width="11.875" style="48" customWidth="1"/>
    <col min="5" max="5" width="13.5" style="65" customWidth="1"/>
    <col min="6" max="16384" width="8.875" style="48"/>
  </cols>
  <sheetData>
    <row r="1" spans="1:5" s="47" customFormat="1">
      <c r="A1" s="49" t="s">
        <v>507</v>
      </c>
      <c r="B1" s="50" t="s">
        <v>506</v>
      </c>
      <c r="C1" s="68" t="s">
        <v>24</v>
      </c>
      <c r="D1" s="68" t="s">
        <v>25</v>
      </c>
      <c r="E1" s="49" t="s">
        <v>671</v>
      </c>
    </row>
    <row r="2" spans="1:5">
      <c r="A2" s="51" t="s">
        <v>670</v>
      </c>
      <c r="B2" s="52">
        <v>100000</v>
      </c>
      <c r="C2" s="69">
        <v>41183</v>
      </c>
      <c r="D2" s="69"/>
      <c r="E2" s="51" t="s">
        <v>672</v>
      </c>
    </row>
    <row r="3" spans="1:5">
      <c r="A3" s="57" t="s">
        <v>490</v>
      </c>
      <c r="B3" s="52">
        <v>110000</v>
      </c>
      <c r="C3" s="69">
        <v>42064</v>
      </c>
      <c r="D3" s="69"/>
      <c r="E3" s="51"/>
    </row>
    <row r="4" spans="1:5">
      <c r="A4" s="58" t="s">
        <v>491</v>
      </c>
      <c r="B4" s="52">
        <v>120000</v>
      </c>
      <c r="C4" s="70">
        <v>42917</v>
      </c>
      <c r="D4" s="69"/>
      <c r="E4" s="51"/>
    </row>
    <row r="5" spans="1:5">
      <c r="A5" s="58" t="s">
        <v>492</v>
      </c>
      <c r="B5" s="52">
        <v>130000</v>
      </c>
      <c r="C5" s="70">
        <v>43160</v>
      </c>
      <c r="D5" s="69"/>
      <c r="E5" s="51"/>
    </row>
    <row r="6" spans="1:5">
      <c r="A6" s="58" t="s">
        <v>493</v>
      </c>
      <c r="B6" s="52">
        <v>140000</v>
      </c>
      <c r="C6" s="70">
        <v>43405</v>
      </c>
      <c r="D6" s="69"/>
      <c r="E6" s="51"/>
    </row>
    <row r="7" spans="1:5">
      <c r="A7" s="58" t="s">
        <v>494</v>
      </c>
      <c r="B7" s="52">
        <v>150000</v>
      </c>
      <c r="C7" s="69">
        <v>43586</v>
      </c>
      <c r="D7" s="69"/>
      <c r="E7" s="58"/>
    </row>
    <row r="8" spans="1:5">
      <c r="A8" s="58" t="s">
        <v>495</v>
      </c>
      <c r="B8" s="52">
        <v>160000</v>
      </c>
      <c r="C8" s="69">
        <v>43647</v>
      </c>
      <c r="D8" s="69"/>
      <c r="E8" s="58"/>
    </row>
    <row r="9" spans="1:5">
      <c r="A9" s="58" t="s">
        <v>496</v>
      </c>
      <c r="B9" s="52">
        <v>170000</v>
      </c>
      <c r="C9" s="69">
        <v>43961</v>
      </c>
      <c r="D9" s="69"/>
      <c r="E9" s="58"/>
    </row>
    <row r="10" spans="1:5">
      <c r="A10" s="59" t="s">
        <v>497</v>
      </c>
      <c r="B10" s="52">
        <v>180000</v>
      </c>
      <c r="C10" s="69">
        <v>43983</v>
      </c>
      <c r="D10" s="69"/>
      <c r="E10" s="59"/>
    </row>
    <row r="11" spans="1:5">
      <c r="A11" s="59" t="s">
        <v>509</v>
      </c>
      <c r="B11" s="52">
        <v>190000</v>
      </c>
      <c r="C11" s="69">
        <v>43983</v>
      </c>
      <c r="D11" s="69">
        <v>44316</v>
      </c>
      <c r="E11" s="59"/>
    </row>
    <row r="12" spans="1:5">
      <c r="A12" s="59" t="s">
        <v>510</v>
      </c>
      <c r="B12" s="52">
        <v>200000</v>
      </c>
      <c r="C12" s="69">
        <v>44197</v>
      </c>
      <c r="D12" s="69">
        <v>44316</v>
      </c>
      <c r="E12" s="59"/>
    </row>
    <row r="13" spans="1:5">
      <c r="A13" s="59" t="s">
        <v>498</v>
      </c>
      <c r="B13" s="52">
        <v>210000</v>
      </c>
      <c r="C13" s="69">
        <v>44256</v>
      </c>
      <c r="D13" s="69"/>
      <c r="E13" s="59"/>
    </row>
    <row r="14" spans="1:5">
      <c r="A14" s="60" t="s">
        <v>499</v>
      </c>
      <c r="B14" s="52">
        <v>220000</v>
      </c>
      <c r="C14" s="69">
        <v>44287</v>
      </c>
      <c r="D14" s="69"/>
      <c r="E14" s="60"/>
    </row>
    <row r="15" spans="1:5">
      <c r="A15" s="60" t="s">
        <v>500</v>
      </c>
      <c r="B15" s="52">
        <v>230000</v>
      </c>
      <c r="C15" s="69">
        <v>44287</v>
      </c>
      <c r="D15" s="69"/>
      <c r="E15" s="60"/>
    </row>
    <row r="16" spans="1:5">
      <c r="A16" s="59" t="s">
        <v>501</v>
      </c>
      <c r="B16" s="52">
        <v>240000</v>
      </c>
      <c r="C16" s="69">
        <v>44287</v>
      </c>
      <c r="D16" s="69"/>
      <c r="E16" s="59"/>
    </row>
    <row r="17" spans="1:5">
      <c r="A17" s="60" t="s">
        <v>502</v>
      </c>
      <c r="B17" s="52">
        <v>250000</v>
      </c>
      <c r="C17" s="69">
        <v>44287</v>
      </c>
      <c r="D17" s="69"/>
      <c r="E17" s="60"/>
    </row>
    <row r="18" spans="1:5">
      <c r="A18" s="60" t="s">
        <v>1942</v>
      </c>
      <c r="B18" s="52">
        <v>1</v>
      </c>
      <c r="C18" s="88"/>
      <c r="D18" s="88"/>
      <c r="E18" s="60"/>
    </row>
    <row r="19" spans="1:5">
      <c r="A19" s="60" t="s">
        <v>511</v>
      </c>
      <c r="B19" s="52">
        <v>998</v>
      </c>
      <c r="C19" s="69">
        <v>44317</v>
      </c>
      <c r="D19" s="69"/>
      <c r="E19" s="60"/>
    </row>
    <row r="20" spans="1:5">
      <c r="B20" s="2">
        <f>SUBTOTAL(9,B2:B19)</f>
        <v>2800999</v>
      </c>
    </row>
  </sheetData>
  <autoFilter ref="A1:D19"/>
  <phoneticPr fontId="3"/>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H20"/>
  <sheetViews>
    <sheetView zoomScale="90" zoomScaleNormal="90" workbookViewId="0">
      <pane xSplit="1" ySplit="2" topLeftCell="Q3" activePane="bottomRight" state="frozen"/>
      <selection pane="topRight" activeCell="B1" sqref="B1"/>
      <selection pane="bottomLeft" activeCell="A3" sqref="A3"/>
      <selection pane="bottomRight" activeCell="AA31" sqref="AA31"/>
    </sheetView>
  </sheetViews>
  <sheetFormatPr defaultRowHeight="13.5"/>
  <cols>
    <col min="1" max="1" width="12.625" customWidth="1"/>
    <col min="2" max="86" width="3.125" customWidth="1"/>
  </cols>
  <sheetData>
    <row r="1" spans="1:86">
      <c r="A1" s="86" t="s">
        <v>355</v>
      </c>
      <c r="B1" s="81" t="s">
        <v>4</v>
      </c>
      <c r="C1" s="82"/>
      <c r="D1" s="82"/>
      <c r="E1" s="82"/>
      <c r="F1" s="83"/>
      <c r="G1" s="81" t="s">
        <v>5</v>
      </c>
      <c r="H1" s="82"/>
      <c r="I1" s="82"/>
      <c r="J1" s="82"/>
      <c r="K1" s="83"/>
      <c r="L1" s="84" t="s">
        <v>6</v>
      </c>
      <c r="M1" s="82"/>
      <c r="N1" s="82"/>
      <c r="O1" s="82"/>
      <c r="P1" s="85"/>
      <c r="Q1" s="81" t="s">
        <v>7</v>
      </c>
      <c r="R1" s="82"/>
      <c r="S1" s="82"/>
      <c r="T1" s="82"/>
      <c r="U1" s="83"/>
      <c r="V1" s="84" t="s">
        <v>159</v>
      </c>
      <c r="W1" s="82"/>
      <c r="X1" s="82"/>
      <c r="Y1" s="82"/>
      <c r="Z1" s="85"/>
      <c r="AA1" s="81" t="s">
        <v>8</v>
      </c>
      <c r="AB1" s="82"/>
      <c r="AC1" s="82"/>
      <c r="AD1" s="82"/>
      <c r="AE1" s="83"/>
      <c r="AF1" s="84" t="s">
        <v>9</v>
      </c>
      <c r="AG1" s="82"/>
      <c r="AH1" s="82"/>
      <c r="AI1" s="82"/>
      <c r="AJ1" s="85"/>
      <c r="AK1" s="81" t="s">
        <v>10</v>
      </c>
      <c r="AL1" s="82"/>
      <c r="AM1" s="82"/>
      <c r="AN1" s="82"/>
      <c r="AO1" s="83"/>
      <c r="AP1" s="84" t="s">
        <v>356</v>
      </c>
      <c r="AQ1" s="82"/>
      <c r="AR1" s="82"/>
      <c r="AS1" s="82"/>
      <c r="AT1" s="85"/>
      <c r="AU1" s="81" t="s">
        <v>11</v>
      </c>
      <c r="AV1" s="82"/>
      <c r="AW1" s="82"/>
      <c r="AX1" s="82"/>
      <c r="AY1" s="83"/>
      <c r="AZ1" s="84" t="s">
        <v>12</v>
      </c>
      <c r="BA1" s="82"/>
      <c r="BB1" s="82"/>
      <c r="BC1" s="82"/>
      <c r="BD1" s="85"/>
      <c r="BE1" s="81" t="s">
        <v>13</v>
      </c>
      <c r="BF1" s="82"/>
      <c r="BG1" s="82"/>
      <c r="BH1" s="82"/>
      <c r="BI1" s="83"/>
      <c r="BJ1" s="84" t="s">
        <v>27</v>
      </c>
      <c r="BK1" s="82"/>
      <c r="BL1" s="82"/>
      <c r="BM1" s="82"/>
      <c r="BN1" s="85"/>
      <c r="BO1" s="81" t="s">
        <v>28</v>
      </c>
      <c r="BP1" s="82"/>
      <c r="BQ1" s="82"/>
      <c r="BR1" s="82"/>
      <c r="BS1" s="83"/>
      <c r="BT1" s="81" t="s">
        <v>29</v>
      </c>
      <c r="BU1" s="82"/>
      <c r="BV1" s="82"/>
      <c r="BW1" s="82"/>
      <c r="BX1" s="83"/>
      <c r="BY1" s="81" t="s">
        <v>350</v>
      </c>
      <c r="BZ1" s="82"/>
      <c r="CA1" s="82"/>
      <c r="CB1" s="82"/>
      <c r="CC1" s="83"/>
      <c r="CD1" s="81" t="s">
        <v>444</v>
      </c>
      <c r="CE1" s="82"/>
      <c r="CF1" s="82"/>
      <c r="CG1" s="82"/>
      <c r="CH1" s="83"/>
    </row>
    <row r="2" spans="1:86" ht="40.5">
      <c r="A2" s="87"/>
      <c r="B2" s="23" t="s">
        <v>3</v>
      </c>
      <c r="C2" s="24" t="s">
        <v>0</v>
      </c>
      <c r="D2" s="24" t="s">
        <v>2</v>
      </c>
      <c r="E2" s="24" t="s">
        <v>357</v>
      </c>
      <c r="F2" s="25" t="s">
        <v>1</v>
      </c>
      <c r="G2" s="23" t="s">
        <v>3</v>
      </c>
      <c r="H2" s="24" t="s">
        <v>0</v>
      </c>
      <c r="I2" s="24" t="s">
        <v>2</v>
      </c>
      <c r="J2" s="24" t="s">
        <v>358</v>
      </c>
      <c r="K2" s="25" t="s">
        <v>1</v>
      </c>
      <c r="L2" s="26" t="s">
        <v>3</v>
      </c>
      <c r="M2" s="24" t="s">
        <v>0</v>
      </c>
      <c r="N2" s="24" t="s">
        <v>2</v>
      </c>
      <c r="O2" s="24" t="s">
        <v>358</v>
      </c>
      <c r="P2" s="27" t="s">
        <v>1</v>
      </c>
      <c r="Q2" s="23" t="s">
        <v>3</v>
      </c>
      <c r="R2" s="24" t="s">
        <v>0</v>
      </c>
      <c r="S2" s="24" t="s">
        <v>2</v>
      </c>
      <c r="T2" s="24" t="s">
        <v>358</v>
      </c>
      <c r="U2" s="25" t="s">
        <v>1</v>
      </c>
      <c r="V2" s="26" t="s">
        <v>3</v>
      </c>
      <c r="W2" s="24" t="s">
        <v>0</v>
      </c>
      <c r="X2" s="24" t="s">
        <v>2</v>
      </c>
      <c r="Y2" s="24" t="s">
        <v>358</v>
      </c>
      <c r="Z2" s="27" t="s">
        <v>1</v>
      </c>
      <c r="AA2" s="23" t="s">
        <v>3</v>
      </c>
      <c r="AB2" s="24" t="s">
        <v>0</v>
      </c>
      <c r="AC2" s="24" t="s">
        <v>2</v>
      </c>
      <c r="AD2" s="24" t="s">
        <v>358</v>
      </c>
      <c r="AE2" s="25" t="s">
        <v>1</v>
      </c>
      <c r="AF2" s="26" t="s">
        <v>3</v>
      </c>
      <c r="AG2" s="24" t="s">
        <v>0</v>
      </c>
      <c r="AH2" s="24" t="s">
        <v>2</v>
      </c>
      <c r="AI2" s="24" t="s">
        <v>358</v>
      </c>
      <c r="AJ2" s="27" t="s">
        <v>1</v>
      </c>
      <c r="AK2" s="23" t="s">
        <v>3</v>
      </c>
      <c r="AL2" s="24" t="s">
        <v>0</v>
      </c>
      <c r="AM2" s="24" t="s">
        <v>2</v>
      </c>
      <c r="AN2" s="24" t="s">
        <v>358</v>
      </c>
      <c r="AO2" s="25" t="s">
        <v>1</v>
      </c>
      <c r="AP2" s="26" t="s">
        <v>3</v>
      </c>
      <c r="AQ2" s="24" t="s">
        <v>0</v>
      </c>
      <c r="AR2" s="24" t="s">
        <v>2</v>
      </c>
      <c r="AS2" s="24" t="s">
        <v>358</v>
      </c>
      <c r="AT2" s="27" t="s">
        <v>1</v>
      </c>
      <c r="AU2" s="23" t="s">
        <v>3</v>
      </c>
      <c r="AV2" s="24" t="s">
        <v>0</v>
      </c>
      <c r="AW2" s="24" t="s">
        <v>2</v>
      </c>
      <c r="AX2" s="24" t="s">
        <v>358</v>
      </c>
      <c r="AY2" s="25" t="s">
        <v>1</v>
      </c>
      <c r="AZ2" s="26" t="s">
        <v>3</v>
      </c>
      <c r="BA2" s="24" t="s">
        <v>0</v>
      </c>
      <c r="BB2" s="24" t="s">
        <v>2</v>
      </c>
      <c r="BC2" s="24" t="s">
        <v>358</v>
      </c>
      <c r="BD2" s="27" t="s">
        <v>1</v>
      </c>
      <c r="BE2" s="23" t="s">
        <v>3</v>
      </c>
      <c r="BF2" s="24" t="s">
        <v>0</v>
      </c>
      <c r="BG2" s="24" t="s">
        <v>2</v>
      </c>
      <c r="BH2" s="24" t="s">
        <v>358</v>
      </c>
      <c r="BI2" s="25" t="s">
        <v>1</v>
      </c>
      <c r="BJ2" s="26" t="s">
        <v>3</v>
      </c>
      <c r="BK2" s="24" t="s">
        <v>0</v>
      </c>
      <c r="BL2" s="24" t="s">
        <v>2</v>
      </c>
      <c r="BM2" s="24" t="s">
        <v>358</v>
      </c>
      <c r="BN2" s="27" t="s">
        <v>1</v>
      </c>
      <c r="BO2" s="23" t="s">
        <v>3</v>
      </c>
      <c r="BP2" s="24" t="s">
        <v>0</v>
      </c>
      <c r="BQ2" s="24" t="s">
        <v>2</v>
      </c>
      <c r="BR2" s="24" t="s">
        <v>358</v>
      </c>
      <c r="BS2" s="25" t="s">
        <v>1</v>
      </c>
      <c r="BT2" s="23" t="s">
        <v>3</v>
      </c>
      <c r="BU2" s="24" t="s">
        <v>0</v>
      </c>
      <c r="BV2" s="24" t="s">
        <v>2</v>
      </c>
      <c r="BW2" s="24" t="s">
        <v>358</v>
      </c>
      <c r="BX2" s="25" t="s">
        <v>1</v>
      </c>
      <c r="BY2" s="23" t="s">
        <v>3</v>
      </c>
      <c r="BZ2" s="24" t="s">
        <v>0</v>
      </c>
      <c r="CA2" s="24" t="s">
        <v>2</v>
      </c>
      <c r="CB2" s="24" t="s">
        <v>358</v>
      </c>
      <c r="CC2" s="25" t="s">
        <v>1</v>
      </c>
      <c r="CD2" s="23" t="s">
        <v>3</v>
      </c>
      <c r="CE2" s="24" t="s">
        <v>0</v>
      </c>
      <c r="CF2" s="24" t="s">
        <v>2</v>
      </c>
      <c r="CG2" s="24" t="s">
        <v>358</v>
      </c>
      <c r="CH2" s="25" t="s">
        <v>1</v>
      </c>
    </row>
    <row r="3" spans="1:86">
      <c r="A3" s="28" t="s">
        <v>359</v>
      </c>
      <c r="B3" s="29">
        <v>0</v>
      </c>
      <c r="C3" s="30">
        <v>0</v>
      </c>
      <c r="D3" s="30">
        <v>0</v>
      </c>
      <c r="E3" s="30">
        <v>0</v>
      </c>
      <c r="F3" s="31">
        <v>1</v>
      </c>
      <c r="G3" s="29">
        <v>4</v>
      </c>
      <c r="H3" s="30">
        <v>1</v>
      </c>
      <c r="I3" s="30">
        <v>1</v>
      </c>
      <c r="J3" s="30">
        <v>4</v>
      </c>
      <c r="K3" s="32">
        <v>10</v>
      </c>
      <c r="L3" s="33">
        <v>0</v>
      </c>
      <c r="M3" s="30">
        <v>3</v>
      </c>
      <c r="N3" s="30">
        <v>2</v>
      </c>
      <c r="O3" s="30">
        <v>9</v>
      </c>
      <c r="P3" s="31">
        <v>9</v>
      </c>
      <c r="Q3" s="29">
        <v>1</v>
      </c>
      <c r="R3" s="30">
        <v>0</v>
      </c>
      <c r="S3" s="30">
        <v>0</v>
      </c>
      <c r="T3" s="30">
        <v>0</v>
      </c>
      <c r="U3" s="32">
        <v>2</v>
      </c>
      <c r="V3" s="33">
        <v>1</v>
      </c>
      <c r="W3" s="30">
        <v>3</v>
      </c>
      <c r="X3" s="30">
        <v>1</v>
      </c>
      <c r="Y3" s="30">
        <v>1</v>
      </c>
      <c r="Z3" s="31">
        <v>5</v>
      </c>
      <c r="AA3" s="29">
        <v>0</v>
      </c>
      <c r="AB3" s="30">
        <v>2</v>
      </c>
      <c r="AC3" s="30">
        <v>2</v>
      </c>
      <c r="AD3" s="30">
        <v>3</v>
      </c>
      <c r="AE3" s="32">
        <v>3</v>
      </c>
      <c r="AF3" s="33">
        <v>1</v>
      </c>
      <c r="AG3" s="30">
        <v>2</v>
      </c>
      <c r="AH3" s="30">
        <v>2</v>
      </c>
      <c r="AI3" s="30">
        <v>2</v>
      </c>
      <c r="AJ3" s="31">
        <v>4</v>
      </c>
      <c r="AK3" s="29">
        <v>0</v>
      </c>
      <c r="AL3" s="30">
        <v>4</v>
      </c>
      <c r="AM3" s="30">
        <v>3</v>
      </c>
      <c r="AN3" s="30">
        <v>8</v>
      </c>
      <c r="AO3" s="32">
        <v>4</v>
      </c>
      <c r="AP3" s="33">
        <v>3</v>
      </c>
      <c r="AQ3" s="30">
        <v>3</v>
      </c>
      <c r="AR3" s="30">
        <v>3</v>
      </c>
      <c r="AS3" s="30">
        <v>5</v>
      </c>
      <c r="AT3" s="31">
        <v>4</v>
      </c>
      <c r="AU3" s="29">
        <v>3</v>
      </c>
      <c r="AV3" s="30">
        <v>0</v>
      </c>
      <c r="AW3" s="30">
        <v>4</v>
      </c>
      <c r="AX3" s="30">
        <v>3</v>
      </c>
      <c r="AY3" s="32">
        <v>3</v>
      </c>
      <c r="AZ3" s="33">
        <v>0</v>
      </c>
      <c r="BA3" s="30">
        <v>4</v>
      </c>
      <c r="BB3" s="30">
        <v>3</v>
      </c>
      <c r="BC3" s="30">
        <v>4</v>
      </c>
      <c r="BD3" s="31">
        <v>2</v>
      </c>
      <c r="BE3" s="29">
        <v>1</v>
      </c>
      <c r="BF3" s="30">
        <v>2</v>
      </c>
      <c r="BG3" s="30">
        <v>1</v>
      </c>
      <c r="BH3" s="30">
        <v>2</v>
      </c>
      <c r="BI3" s="32">
        <v>4</v>
      </c>
      <c r="BJ3" s="34"/>
      <c r="BK3" s="35"/>
      <c r="BL3" s="35"/>
      <c r="BM3" s="35"/>
      <c r="BN3" s="36"/>
      <c r="BO3" s="37"/>
      <c r="BP3" s="35"/>
      <c r="BQ3" s="35"/>
      <c r="BR3" s="35"/>
      <c r="BS3" s="38"/>
      <c r="BT3" s="34"/>
      <c r="BU3" s="35"/>
      <c r="BV3" s="35"/>
      <c r="BW3" s="35"/>
      <c r="BX3" s="38"/>
      <c r="BY3" s="34"/>
      <c r="BZ3" s="35"/>
      <c r="CA3" s="35"/>
      <c r="CB3" s="35"/>
      <c r="CC3" s="38"/>
      <c r="CD3" s="34"/>
      <c r="CE3" s="35"/>
      <c r="CF3" s="35"/>
      <c r="CG3" s="35"/>
      <c r="CH3" s="38"/>
    </row>
    <row r="4" spans="1:86">
      <c r="A4" s="28" t="s">
        <v>360</v>
      </c>
      <c r="B4" s="29">
        <v>0</v>
      </c>
      <c r="C4" s="30">
        <v>0</v>
      </c>
      <c r="D4" s="30">
        <v>0</v>
      </c>
      <c r="E4" s="30">
        <v>0</v>
      </c>
      <c r="F4" s="31">
        <v>1</v>
      </c>
      <c r="G4" s="29">
        <v>3</v>
      </c>
      <c r="H4" s="30">
        <v>0</v>
      </c>
      <c r="I4" s="30">
        <v>4</v>
      </c>
      <c r="J4" s="30">
        <v>4</v>
      </c>
      <c r="K4" s="32">
        <v>10</v>
      </c>
      <c r="L4" s="33">
        <v>2</v>
      </c>
      <c r="M4" s="30">
        <v>1</v>
      </c>
      <c r="N4" s="30">
        <v>3</v>
      </c>
      <c r="O4" s="30">
        <v>10</v>
      </c>
      <c r="P4" s="31">
        <v>6</v>
      </c>
      <c r="Q4" s="29">
        <v>1</v>
      </c>
      <c r="R4" s="30">
        <v>1</v>
      </c>
      <c r="S4" s="30">
        <v>1</v>
      </c>
      <c r="T4" s="30">
        <v>0</v>
      </c>
      <c r="U4" s="32">
        <v>3</v>
      </c>
      <c r="V4" s="33">
        <v>0</v>
      </c>
      <c r="W4" s="30">
        <v>0</v>
      </c>
      <c r="X4" s="30">
        <v>1</v>
      </c>
      <c r="Y4" s="30">
        <v>4</v>
      </c>
      <c r="Z4" s="31">
        <v>5</v>
      </c>
      <c r="AA4" s="29">
        <v>0</v>
      </c>
      <c r="AB4" s="30">
        <v>0</v>
      </c>
      <c r="AC4" s="30">
        <v>1</v>
      </c>
      <c r="AD4" s="30">
        <v>1</v>
      </c>
      <c r="AE4" s="32">
        <v>2</v>
      </c>
      <c r="AF4" s="33">
        <v>1</v>
      </c>
      <c r="AG4" s="30">
        <v>0</v>
      </c>
      <c r="AH4" s="30">
        <v>1</v>
      </c>
      <c r="AI4" s="30">
        <v>0</v>
      </c>
      <c r="AJ4" s="31">
        <v>3</v>
      </c>
      <c r="AK4" s="29">
        <v>0</v>
      </c>
      <c r="AL4" s="30">
        <v>4</v>
      </c>
      <c r="AM4" s="30">
        <v>5</v>
      </c>
      <c r="AN4" s="30">
        <v>8</v>
      </c>
      <c r="AO4" s="32">
        <v>3</v>
      </c>
      <c r="AP4" s="33">
        <v>1</v>
      </c>
      <c r="AQ4" s="30">
        <v>1</v>
      </c>
      <c r="AR4" s="30">
        <v>3</v>
      </c>
      <c r="AS4" s="30">
        <v>7</v>
      </c>
      <c r="AT4" s="31">
        <v>2</v>
      </c>
      <c r="AU4" s="29">
        <v>5</v>
      </c>
      <c r="AV4" s="30">
        <v>3</v>
      </c>
      <c r="AW4" s="30">
        <v>2</v>
      </c>
      <c r="AX4" s="30">
        <v>2</v>
      </c>
      <c r="AY4" s="32">
        <v>2</v>
      </c>
      <c r="AZ4" s="33">
        <v>1</v>
      </c>
      <c r="BA4" s="30">
        <v>0</v>
      </c>
      <c r="BB4" s="30">
        <v>2</v>
      </c>
      <c r="BC4" s="30">
        <v>4</v>
      </c>
      <c r="BD4" s="31">
        <v>6</v>
      </c>
      <c r="BE4" s="29">
        <v>1</v>
      </c>
      <c r="BF4" s="30">
        <v>1</v>
      </c>
      <c r="BG4" s="30">
        <v>1</v>
      </c>
      <c r="BH4" s="30">
        <v>1</v>
      </c>
      <c r="BI4" s="32">
        <v>3</v>
      </c>
      <c r="BJ4" s="33">
        <v>0</v>
      </c>
      <c r="BK4" s="30">
        <v>0</v>
      </c>
      <c r="BL4" s="30">
        <v>0</v>
      </c>
      <c r="BM4" s="30">
        <v>2</v>
      </c>
      <c r="BN4" s="31">
        <v>4</v>
      </c>
      <c r="BO4" s="29">
        <v>0</v>
      </c>
      <c r="BP4" s="30">
        <v>0</v>
      </c>
      <c r="BQ4" s="30">
        <v>0</v>
      </c>
      <c r="BR4" s="30">
        <v>2</v>
      </c>
      <c r="BS4" s="32">
        <v>3</v>
      </c>
      <c r="BT4" s="34"/>
      <c r="BU4" s="35"/>
      <c r="BV4" s="35"/>
      <c r="BW4" s="35"/>
      <c r="BX4" s="38"/>
      <c r="BY4" s="34"/>
      <c r="BZ4" s="35"/>
      <c r="CA4" s="35"/>
      <c r="CB4" s="35"/>
      <c r="CC4" s="38"/>
      <c r="CD4" s="34"/>
      <c r="CE4" s="35"/>
      <c r="CF4" s="35"/>
      <c r="CG4" s="35"/>
      <c r="CH4" s="38"/>
    </row>
    <row r="5" spans="1:86">
      <c r="A5" s="28" t="s">
        <v>361</v>
      </c>
      <c r="B5" s="29">
        <v>0</v>
      </c>
      <c r="C5" s="30">
        <v>0</v>
      </c>
      <c r="D5" s="30">
        <v>0</v>
      </c>
      <c r="E5" s="30">
        <v>0</v>
      </c>
      <c r="F5" s="31">
        <v>1</v>
      </c>
      <c r="G5" s="29">
        <v>3</v>
      </c>
      <c r="H5" s="30">
        <v>0</v>
      </c>
      <c r="I5" s="30">
        <v>3</v>
      </c>
      <c r="J5" s="30">
        <v>3</v>
      </c>
      <c r="K5" s="32">
        <v>7</v>
      </c>
      <c r="L5" s="33">
        <v>4</v>
      </c>
      <c r="M5" s="30">
        <v>0</v>
      </c>
      <c r="N5" s="30">
        <v>3</v>
      </c>
      <c r="O5" s="30">
        <v>3</v>
      </c>
      <c r="P5" s="31">
        <v>6</v>
      </c>
      <c r="Q5" s="29">
        <v>0</v>
      </c>
      <c r="R5" s="30">
        <v>1</v>
      </c>
      <c r="S5" s="30">
        <v>1</v>
      </c>
      <c r="T5" s="30">
        <v>0</v>
      </c>
      <c r="U5" s="32">
        <v>2</v>
      </c>
      <c r="V5" s="33">
        <v>2</v>
      </c>
      <c r="W5" s="30">
        <v>2</v>
      </c>
      <c r="X5" s="30">
        <v>3</v>
      </c>
      <c r="Y5" s="30">
        <v>7</v>
      </c>
      <c r="Z5" s="31">
        <v>5</v>
      </c>
      <c r="AA5" s="29">
        <v>0</v>
      </c>
      <c r="AB5" s="30">
        <v>0</v>
      </c>
      <c r="AC5" s="30">
        <v>1</v>
      </c>
      <c r="AD5" s="30">
        <v>3</v>
      </c>
      <c r="AE5" s="32">
        <v>3</v>
      </c>
      <c r="AF5" s="33">
        <v>0</v>
      </c>
      <c r="AG5" s="30">
        <v>0</v>
      </c>
      <c r="AH5" s="30">
        <v>1</v>
      </c>
      <c r="AI5" s="30">
        <v>3</v>
      </c>
      <c r="AJ5" s="31">
        <v>4</v>
      </c>
      <c r="AK5" s="29">
        <v>0</v>
      </c>
      <c r="AL5" s="30">
        <v>2</v>
      </c>
      <c r="AM5" s="30">
        <v>2</v>
      </c>
      <c r="AN5" s="30">
        <v>3</v>
      </c>
      <c r="AO5" s="32">
        <v>3</v>
      </c>
      <c r="AP5" s="33">
        <v>1</v>
      </c>
      <c r="AQ5" s="30">
        <v>2</v>
      </c>
      <c r="AR5" s="30">
        <v>1</v>
      </c>
      <c r="AS5" s="30">
        <v>7</v>
      </c>
      <c r="AT5" s="31">
        <v>8</v>
      </c>
      <c r="AU5" s="29">
        <v>6</v>
      </c>
      <c r="AV5" s="30">
        <v>2</v>
      </c>
      <c r="AW5" s="30">
        <v>1</v>
      </c>
      <c r="AX5" s="30">
        <v>1</v>
      </c>
      <c r="AY5" s="32">
        <v>2</v>
      </c>
      <c r="AZ5" s="33">
        <v>2</v>
      </c>
      <c r="BA5" s="30">
        <v>0</v>
      </c>
      <c r="BB5" s="30">
        <v>1</v>
      </c>
      <c r="BC5" s="30">
        <v>2</v>
      </c>
      <c r="BD5" s="31">
        <v>6</v>
      </c>
      <c r="BE5" s="29">
        <v>1</v>
      </c>
      <c r="BF5" s="30">
        <v>2</v>
      </c>
      <c r="BG5" s="30">
        <v>2</v>
      </c>
      <c r="BH5" s="30">
        <v>1</v>
      </c>
      <c r="BI5" s="32">
        <v>3</v>
      </c>
      <c r="BJ5" s="33">
        <v>0</v>
      </c>
      <c r="BK5" s="30">
        <v>0</v>
      </c>
      <c r="BL5" s="30">
        <v>0</v>
      </c>
      <c r="BM5" s="30">
        <v>5</v>
      </c>
      <c r="BN5" s="31">
        <v>5</v>
      </c>
      <c r="BO5" s="29">
        <v>1</v>
      </c>
      <c r="BP5" s="30">
        <v>0</v>
      </c>
      <c r="BQ5" s="30">
        <v>2</v>
      </c>
      <c r="BR5" s="30">
        <v>5</v>
      </c>
      <c r="BS5" s="32">
        <v>4</v>
      </c>
      <c r="BT5" s="33">
        <v>0</v>
      </c>
      <c r="BU5" s="30">
        <v>0</v>
      </c>
      <c r="BV5" s="30">
        <v>0</v>
      </c>
      <c r="BW5" s="30">
        <v>2</v>
      </c>
      <c r="BX5" s="32">
        <v>4</v>
      </c>
      <c r="BY5" s="34"/>
      <c r="BZ5" s="35"/>
      <c r="CA5" s="35"/>
      <c r="CB5" s="35"/>
      <c r="CC5" s="38"/>
      <c r="CD5" s="34"/>
      <c r="CE5" s="35"/>
      <c r="CF5" s="35"/>
      <c r="CG5" s="35"/>
      <c r="CH5" s="38"/>
    </row>
    <row r="6" spans="1:86">
      <c r="A6" s="28" t="s">
        <v>362</v>
      </c>
      <c r="B6" s="29">
        <v>0</v>
      </c>
      <c r="C6" s="30">
        <v>0</v>
      </c>
      <c r="D6" s="30">
        <v>0</v>
      </c>
      <c r="E6" s="30">
        <v>0</v>
      </c>
      <c r="F6" s="31">
        <v>1</v>
      </c>
      <c r="G6" s="29">
        <v>5</v>
      </c>
      <c r="H6" s="30">
        <v>0</v>
      </c>
      <c r="I6" s="30">
        <v>5</v>
      </c>
      <c r="J6" s="30">
        <v>5</v>
      </c>
      <c r="K6" s="32">
        <v>4</v>
      </c>
      <c r="L6" s="33">
        <v>11</v>
      </c>
      <c r="M6" s="30">
        <v>5</v>
      </c>
      <c r="N6" s="30">
        <v>8</v>
      </c>
      <c r="O6" s="30">
        <v>10</v>
      </c>
      <c r="P6" s="31">
        <v>7</v>
      </c>
      <c r="Q6" s="29">
        <v>0</v>
      </c>
      <c r="R6" s="30">
        <v>1</v>
      </c>
      <c r="S6" s="30">
        <v>1</v>
      </c>
      <c r="T6" s="30">
        <v>0</v>
      </c>
      <c r="U6" s="32">
        <v>3</v>
      </c>
      <c r="V6" s="33">
        <v>5</v>
      </c>
      <c r="W6" s="30">
        <v>5</v>
      </c>
      <c r="X6" s="30">
        <v>4</v>
      </c>
      <c r="Y6" s="30">
        <v>9</v>
      </c>
      <c r="Z6" s="31">
        <v>7</v>
      </c>
      <c r="AA6" s="29">
        <v>1</v>
      </c>
      <c r="AB6" s="30">
        <v>3</v>
      </c>
      <c r="AC6" s="30">
        <v>3</v>
      </c>
      <c r="AD6" s="30">
        <v>6</v>
      </c>
      <c r="AE6" s="32">
        <v>3</v>
      </c>
      <c r="AF6" s="33">
        <v>1</v>
      </c>
      <c r="AG6" s="30">
        <v>3</v>
      </c>
      <c r="AH6" s="30">
        <v>4</v>
      </c>
      <c r="AI6" s="30">
        <v>2</v>
      </c>
      <c r="AJ6" s="31">
        <v>4</v>
      </c>
      <c r="AK6" s="29">
        <v>0</v>
      </c>
      <c r="AL6" s="30">
        <v>1</v>
      </c>
      <c r="AM6" s="30">
        <v>2</v>
      </c>
      <c r="AN6" s="30">
        <v>7</v>
      </c>
      <c r="AO6" s="32">
        <v>4</v>
      </c>
      <c r="AP6" s="33">
        <v>1</v>
      </c>
      <c r="AQ6" s="30">
        <v>1</v>
      </c>
      <c r="AR6" s="30">
        <v>2</v>
      </c>
      <c r="AS6" s="30">
        <v>8</v>
      </c>
      <c r="AT6" s="31">
        <v>2</v>
      </c>
      <c r="AU6" s="29">
        <v>5</v>
      </c>
      <c r="AV6" s="30">
        <v>2</v>
      </c>
      <c r="AW6" s="30">
        <v>5</v>
      </c>
      <c r="AX6" s="30">
        <v>4</v>
      </c>
      <c r="AY6" s="32">
        <v>3</v>
      </c>
      <c r="AZ6" s="33">
        <v>0</v>
      </c>
      <c r="BA6" s="30">
        <v>1</v>
      </c>
      <c r="BB6" s="30">
        <v>1</v>
      </c>
      <c r="BC6" s="30">
        <v>10</v>
      </c>
      <c r="BD6" s="31">
        <v>3</v>
      </c>
      <c r="BE6" s="29">
        <v>3</v>
      </c>
      <c r="BF6" s="30">
        <v>4</v>
      </c>
      <c r="BG6" s="30">
        <v>0</v>
      </c>
      <c r="BH6" s="30">
        <v>2</v>
      </c>
      <c r="BI6" s="32">
        <v>3</v>
      </c>
      <c r="BJ6" s="33">
        <v>0</v>
      </c>
      <c r="BK6" s="30">
        <v>0</v>
      </c>
      <c r="BL6" s="30">
        <v>0</v>
      </c>
      <c r="BM6" s="30">
        <v>3</v>
      </c>
      <c r="BN6" s="31">
        <v>5</v>
      </c>
      <c r="BO6" s="29">
        <v>0</v>
      </c>
      <c r="BP6" s="30">
        <v>0</v>
      </c>
      <c r="BQ6" s="30">
        <v>1</v>
      </c>
      <c r="BR6" s="30">
        <v>5</v>
      </c>
      <c r="BS6" s="32">
        <v>3</v>
      </c>
      <c r="BT6" s="33">
        <v>0</v>
      </c>
      <c r="BU6" s="30">
        <v>1</v>
      </c>
      <c r="BV6" s="30">
        <v>1</v>
      </c>
      <c r="BW6" s="30">
        <v>2</v>
      </c>
      <c r="BX6" s="32">
        <v>4</v>
      </c>
      <c r="BY6" s="34"/>
      <c r="BZ6" s="35"/>
      <c r="CA6" s="35"/>
      <c r="CB6" s="35"/>
      <c r="CC6" s="38"/>
      <c r="CD6" s="34"/>
      <c r="CE6" s="35"/>
      <c r="CF6" s="35"/>
      <c r="CG6" s="35"/>
      <c r="CH6" s="38"/>
    </row>
    <row r="7" spans="1:86">
      <c r="A7" s="28" t="s">
        <v>363</v>
      </c>
      <c r="B7" s="29">
        <v>0</v>
      </c>
      <c r="C7" s="30">
        <v>0</v>
      </c>
      <c r="D7" s="30">
        <v>0</v>
      </c>
      <c r="E7" s="30">
        <v>0</v>
      </c>
      <c r="F7" s="31">
        <v>1</v>
      </c>
      <c r="G7" s="29">
        <v>2</v>
      </c>
      <c r="H7" s="30">
        <v>1</v>
      </c>
      <c r="I7" s="30">
        <v>6</v>
      </c>
      <c r="J7" s="30">
        <v>1</v>
      </c>
      <c r="K7" s="32">
        <v>5</v>
      </c>
      <c r="L7" s="33">
        <v>2</v>
      </c>
      <c r="M7" s="30">
        <v>1</v>
      </c>
      <c r="N7" s="30">
        <v>3</v>
      </c>
      <c r="O7" s="30">
        <v>2</v>
      </c>
      <c r="P7" s="31">
        <v>4</v>
      </c>
      <c r="Q7" s="29">
        <v>0</v>
      </c>
      <c r="R7" s="30">
        <v>0</v>
      </c>
      <c r="S7" s="30">
        <v>0</v>
      </c>
      <c r="T7" s="30">
        <v>1</v>
      </c>
      <c r="U7" s="32">
        <v>3</v>
      </c>
      <c r="V7" s="33">
        <v>3</v>
      </c>
      <c r="W7" s="30">
        <v>1</v>
      </c>
      <c r="X7" s="30">
        <v>2</v>
      </c>
      <c r="Y7" s="30">
        <v>7</v>
      </c>
      <c r="Z7" s="31">
        <v>8</v>
      </c>
      <c r="AA7" s="29">
        <v>1</v>
      </c>
      <c r="AB7" s="30">
        <v>0</v>
      </c>
      <c r="AC7" s="30">
        <v>0</v>
      </c>
      <c r="AD7" s="30">
        <v>7</v>
      </c>
      <c r="AE7" s="32">
        <v>2</v>
      </c>
      <c r="AF7" s="33">
        <v>0</v>
      </c>
      <c r="AG7" s="30">
        <v>0</v>
      </c>
      <c r="AH7" s="30">
        <v>1</v>
      </c>
      <c r="AI7" s="30">
        <v>2</v>
      </c>
      <c r="AJ7" s="31">
        <v>5</v>
      </c>
      <c r="AK7" s="29">
        <v>3</v>
      </c>
      <c r="AL7" s="30">
        <v>1</v>
      </c>
      <c r="AM7" s="30">
        <v>5</v>
      </c>
      <c r="AN7" s="30">
        <v>4</v>
      </c>
      <c r="AO7" s="32">
        <v>4</v>
      </c>
      <c r="AP7" s="33">
        <v>1</v>
      </c>
      <c r="AQ7" s="30">
        <v>0</v>
      </c>
      <c r="AR7" s="30">
        <v>0</v>
      </c>
      <c r="AS7" s="30">
        <v>14</v>
      </c>
      <c r="AT7" s="31">
        <v>3</v>
      </c>
      <c r="AU7" s="29">
        <v>4</v>
      </c>
      <c r="AV7" s="30">
        <v>3</v>
      </c>
      <c r="AW7" s="30">
        <v>8</v>
      </c>
      <c r="AX7" s="30">
        <v>6</v>
      </c>
      <c r="AY7" s="32">
        <v>3</v>
      </c>
      <c r="AZ7" s="33">
        <v>4</v>
      </c>
      <c r="BA7" s="30">
        <v>1</v>
      </c>
      <c r="BB7" s="30">
        <v>3</v>
      </c>
      <c r="BC7" s="30">
        <v>8</v>
      </c>
      <c r="BD7" s="31">
        <v>3</v>
      </c>
      <c r="BE7" s="29">
        <v>1</v>
      </c>
      <c r="BF7" s="30">
        <v>0</v>
      </c>
      <c r="BG7" s="30">
        <v>0</v>
      </c>
      <c r="BH7" s="30">
        <v>7</v>
      </c>
      <c r="BI7" s="32">
        <v>2</v>
      </c>
      <c r="BJ7" s="33">
        <v>0</v>
      </c>
      <c r="BK7" s="30">
        <v>0</v>
      </c>
      <c r="BL7" s="30">
        <v>0</v>
      </c>
      <c r="BM7" s="30">
        <v>17</v>
      </c>
      <c r="BN7" s="31">
        <v>4</v>
      </c>
      <c r="BO7" s="29">
        <v>1</v>
      </c>
      <c r="BP7" s="30">
        <v>1</v>
      </c>
      <c r="BQ7" s="30">
        <v>1</v>
      </c>
      <c r="BR7" s="30">
        <v>8</v>
      </c>
      <c r="BS7" s="32">
        <v>2</v>
      </c>
      <c r="BT7" s="33">
        <v>1</v>
      </c>
      <c r="BU7" s="30">
        <v>3</v>
      </c>
      <c r="BV7" s="30">
        <v>3</v>
      </c>
      <c r="BW7" s="30">
        <v>2</v>
      </c>
      <c r="BX7" s="32">
        <v>4</v>
      </c>
      <c r="BY7" s="34"/>
      <c r="BZ7" s="35"/>
      <c r="CA7" s="35"/>
      <c r="CB7" s="35"/>
      <c r="CC7" s="38"/>
      <c r="CD7" s="34"/>
      <c r="CE7" s="35"/>
      <c r="CF7" s="35"/>
      <c r="CG7" s="35"/>
      <c r="CH7" s="38"/>
    </row>
    <row r="8" spans="1:86">
      <c r="A8" s="28" t="s">
        <v>364</v>
      </c>
      <c r="B8" s="29">
        <v>0</v>
      </c>
      <c r="C8" s="30">
        <v>0</v>
      </c>
      <c r="D8" s="30">
        <v>0</v>
      </c>
      <c r="E8" s="30">
        <v>0</v>
      </c>
      <c r="F8" s="31">
        <v>1</v>
      </c>
      <c r="G8" s="29">
        <v>5</v>
      </c>
      <c r="H8" s="30">
        <v>1</v>
      </c>
      <c r="I8" s="30">
        <v>7</v>
      </c>
      <c r="J8" s="30">
        <v>7</v>
      </c>
      <c r="K8" s="32">
        <v>10</v>
      </c>
      <c r="L8" s="33">
        <v>4</v>
      </c>
      <c r="M8" s="30">
        <v>5</v>
      </c>
      <c r="N8" s="30">
        <v>0</v>
      </c>
      <c r="O8" s="30">
        <v>8</v>
      </c>
      <c r="P8" s="31">
        <v>5</v>
      </c>
      <c r="Q8" s="29">
        <v>4</v>
      </c>
      <c r="R8" s="30">
        <v>4</v>
      </c>
      <c r="S8" s="30">
        <v>4</v>
      </c>
      <c r="T8" s="30">
        <v>6</v>
      </c>
      <c r="U8" s="32">
        <v>4</v>
      </c>
      <c r="V8" s="33">
        <v>3</v>
      </c>
      <c r="W8" s="30">
        <v>2</v>
      </c>
      <c r="X8" s="30">
        <v>1</v>
      </c>
      <c r="Y8" s="30">
        <v>3</v>
      </c>
      <c r="Z8" s="31">
        <v>9</v>
      </c>
      <c r="AA8" s="29">
        <v>2</v>
      </c>
      <c r="AB8" s="30">
        <v>2</v>
      </c>
      <c r="AC8" s="30">
        <v>1</v>
      </c>
      <c r="AD8" s="30">
        <v>2</v>
      </c>
      <c r="AE8" s="32">
        <v>4</v>
      </c>
      <c r="AF8" s="33">
        <v>4</v>
      </c>
      <c r="AG8" s="30">
        <v>3</v>
      </c>
      <c r="AH8" s="30">
        <v>4</v>
      </c>
      <c r="AI8" s="30">
        <v>2</v>
      </c>
      <c r="AJ8" s="31">
        <v>5</v>
      </c>
      <c r="AK8" s="29">
        <v>11</v>
      </c>
      <c r="AL8" s="30">
        <v>3</v>
      </c>
      <c r="AM8" s="30">
        <v>3</v>
      </c>
      <c r="AN8" s="30">
        <v>12</v>
      </c>
      <c r="AO8" s="32">
        <v>2</v>
      </c>
      <c r="AP8" s="33">
        <v>2</v>
      </c>
      <c r="AQ8" s="30">
        <v>6</v>
      </c>
      <c r="AR8" s="30">
        <v>0</v>
      </c>
      <c r="AS8" s="30">
        <v>15</v>
      </c>
      <c r="AT8" s="31">
        <v>3</v>
      </c>
      <c r="AU8" s="29">
        <v>3</v>
      </c>
      <c r="AV8" s="30">
        <v>1</v>
      </c>
      <c r="AW8" s="30">
        <v>3</v>
      </c>
      <c r="AX8" s="30">
        <v>3</v>
      </c>
      <c r="AY8" s="32">
        <v>2</v>
      </c>
      <c r="AZ8" s="33">
        <v>8</v>
      </c>
      <c r="BA8" s="30">
        <v>0</v>
      </c>
      <c r="BB8" s="30">
        <v>2</v>
      </c>
      <c r="BC8" s="30">
        <v>8</v>
      </c>
      <c r="BD8" s="31">
        <v>3</v>
      </c>
      <c r="BE8" s="29">
        <v>1</v>
      </c>
      <c r="BF8" s="30">
        <v>2</v>
      </c>
      <c r="BG8" s="30">
        <v>0</v>
      </c>
      <c r="BH8" s="30">
        <v>1</v>
      </c>
      <c r="BI8" s="32">
        <v>5</v>
      </c>
      <c r="BJ8" s="33">
        <v>0</v>
      </c>
      <c r="BK8" s="30">
        <v>0</v>
      </c>
      <c r="BL8" s="30">
        <v>0</v>
      </c>
      <c r="BM8" s="30">
        <v>27</v>
      </c>
      <c r="BN8" s="31">
        <v>7</v>
      </c>
      <c r="BO8" s="29">
        <v>4</v>
      </c>
      <c r="BP8" s="30">
        <v>4</v>
      </c>
      <c r="BQ8" s="30">
        <v>3</v>
      </c>
      <c r="BR8" s="30">
        <v>11</v>
      </c>
      <c r="BS8" s="32">
        <v>2</v>
      </c>
      <c r="BT8" s="33">
        <v>5</v>
      </c>
      <c r="BU8" s="30">
        <v>9</v>
      </c>
      <c r="BV8" s="30">
        <v>5</v>
      </c>
      <c r="BW8" s="30">
        <v>12</v>
      </c>
      <c r="BX8" s="32">
        <v>7</v>
      </c>
      <c r="BY8" s="34"/>
      <c r="BZ8" s="35"/>
      <c r="CA8" s="35"/>
      <c r="CB8" s="35"/>
      <c r="CC8" s="38"/>
      <c r="CD8" s="34"/>
      <c r="CE8" s="35"/>
      <c r="CF8" s="35"/>
      <c r="CG8" s="35"/>
      <c r="CH8" s="38"/>
    </row>
    <row r="9" spans="1:86">
      <c r="A9" s="28" t="s">
        <v>365</v>
      </c>
      <c r="B9" s="29">
        <v>0</v>
      </c>
      <c r="C9" s="30">
        <v>0</v>
      </c>
      <c r="D9" s="30">
        <v>0</v>
      </c>
      <c r="E9" s="30">
        <v>0</v>
      </c>
      <c r="F9" s="31">
        <v>1</v>
      </c>
      <c r="G9" s="29">
        <v>6</v>
      </c>
      <c r="H9" s="30">
        <v>3</v>
      </c>
      <c r="I9" s="30">
        <v>8</v>
      </c>
      <c r="J9" s="30">
        <v>2</v>
      </c>
      <c r="K9" s="32">
        <v>8</v>
      </c>
      <c r="L9" s="33">
        <v>2</v>
      </c>
      <c r="M9" s="30">
        <v>3</v>
      </c>
      <c r="N9" s="30">
        <v>3</v>
      </c>
      <c r="O9" s="30">
        <v>7</v>
      </c>
      <c r="P9" s="31">
        <v>4</v>
      </c>
      <c r="Q9" s="29">
        <v>2</v>
      </c>
      <c r="R9" s="30">
        <v>3</v>
      </c>
      <c r="S9" s="30">
        <v>1</v>
      </c>
      <c r="T9" s="30">
        <v>8</v>
      </c>
      <c r="U9" s="32">
        <v>3</v>
      </c>
      <c r="V9" s="33">
        <v>5</v>
      </c>
      <c r="W9" s="30">
        <v>2</v>
      </c>
      <c r="X9" s="30">
        <v>4</v>
      </c>
      <c r="Y9" s="30">
        <v>9</v>
      </c>
      <c r="Z9" s="31">
        <v>6</v>
      </c>
      <c r="AA9" s="29">
        <v>2</v>
      </c>
      <c r="AB9" s="30">
        <v>2</v>
      </c>
      <c r="AC9" s="30">
        <v>3</v>
      </c>
      <c r="AD9" s="30">
        <v>7</v>
      </c>
      <c r="AE9" s="32">
        <v>2</v>
      </c>
      <c r="AF9" s="34"/>
      <c r="AG9" s="35"/>
      <c r="AH9" s="35"/>
      <c r="AI9" s="35"/>
      <c r="AJ9" s="36"/>
      <c r="AK9" s="29">
        <v>8</v>
      </c>
      <c r="AL9" s="30">
        <v>5</v>
      </c>
      <c r="AM9" s="30">
        <v>3</v>
      </c>
      <c r="AN9" s="30">
        <v>11</v>
      </c>
      <c r="AO9" s="32">
        <v>8</v>
      </c>
      <c r="AP9" s="33">
        <v>8</v>
      </c>
      <c r="AQ9" s="30">
        <v>3</v>
      </c>
      <c r="AR9" s="30">
        <v>2</v>
      </c>
      <c r="AS9" s="30">
        <v>13</v>
      </c>
      <c r="AT9" s="31">
        <v>2</v>
      </c>
      <c r="AU9" s="29">
        <v>6</v>
      </c>
      <c r="AV9" s="30">
        <v>2</v>
      </c>
      <c r="AW9" s="30">
        <v>7</v>
      </c>
      <c r="AX9" s="30">
        <v>6</v>
      </c>
      <c r="AY9" s="32">
        <v>4</v>
      </c>
      <c r="AZ9" s="33">
        <v>7</v>
      </c>
      <c r="BA9" s="30">
        <v>2</v>
      </c>
      <c r="BB9" s="30">
        <v>2</v>
      </c>
      <c r="BC9" s="30">
        <v>11</v>
      </c>
      <c r="BD9" s="31">
        <v>4</v>
      </c>
      <c r="BE9" s="29">
        <v>7</v>
      </c>
      <c r="BF9" s="30">
        <v>6</v>
      </c>
      <c r="BG9" s="30">
        <v>2</v>
      </c>
      <c r="BH9" s="30">
        <v>8</v>
      </c>
      <c r="BI9" s="32">
        <v>10</v>
      </c>
      <c r="BJ9" s="33">
        <v>0</v>
      </c>
      <c r="BK9" s="30">
        <v>0</v>
      </c>
      <c r="BL9" s="30">
        <v>0</v>
      </c>
      <c r="BM9" s="30">
        <v>27</v>
      </c>
      <c r="BN9" s="31">
        <v>3</v>
      </c>
      <c r="BO9" s="29">
        <v>0</v>
      </c>
      <c r="BP9" s="30">
        <v>0</v>
      </c>
      <c r="BQ9" s="30">
        <v>1</v>
      </c>
      <c r="BR9" s="30">
        <v>6</v>
      </c>
      <c r="BS9" s="32">
        <v>3</v>
      </c>
      <c r="BT9" s="33">
        <v>3</v>
      </c>
      <c r="BU9" s="30">
        <v>1</v>
      </c>
      <c r="BV9" s="30">
        <v>1</v>
      </c>
      <c r="BW9" s="30">
        <v>5</v>
      </c>
      <c r="BX9" s="32">
        <v>3</v>
      </c>
      <c r="BY9" s="34"/>
      <c r="BZ9" s="35"/>
      <c r="CA9" s="35"/>
      <c r="CB9" s="35"/>
      <c r="CC9" s="38"/>
      <c r="CD9" s="34"/>
      <c r="CE9" s="35"/>
      <c r="CF9" s="35"/>
      <c r="CG9" s="35"/>
      <c r="CH9" s="38"/>
    </row>
    <row r="10" spans="1:86">
      <c r="A10" s="28" t="s">
        <v>366</v>
      </c>
      <c r="B10" s="29">
        <v>0</v>
      </c>
      <c r="C10" s="30">
        <v>0</v>
      </c>
      <c r="D10" s="30">
        <v>0</v>
      </c>
      <c r="E10" s="30">
        <v>0</v>
      </c>
      <c r="F10" s="31">
        <v>1</v>
      </c>
      <c r="G10" s="29">
        <v>7</v>
      </c>
      <c r="H10" s="30">
        <v>1</v>
      </c>
      <c r="I10" s="30">
        <v>4</v>
      </c>
      <c r="J10" s="30">
        <v>2</v>
      </c>
      <c r="K10" s="32">
        <v>9</v>
      </c>
      <c r="L10" s="33">
        <v>5</v>
      </c>
      <c r="M10" s="30">
        <v>1</v>
      </c>
      <c r="N10" s="30">
        <v>5</v>
      </c>
      <c r="O10" s="30">
        <v>5</v>
      </c>
      <c r="P10" s="31">
        <v>4</v>
      </c>
      <c r="Q10" s="29">
        <v>4</v>
      </c>
      <c r="R10" s="30">
        <v>0</v>
      </c>
      <c r="S10" s="30">
        <v>3</v>
      </c>
      <c r="T10" s="30">
        <v>2</v>
      </c>
      <c r="U10" s="32">
        <v>2</v>
      </c>
      <c r="V10" s="33">
        <v>2</v>
      </c>
      <c r="W10" s="30">
        <v>3</v>
      </c>
      <c r="X10" s="30">
        <v>2</v>
      </c>
      <c r="Y10" s="30">
        <v>3</v>
      </c>
      <c r="Z10" s="31">
        <v>7</v>
      </c>
      <c r="AA10" s="29">
        <v>2</v>
      </c>
      <c r="AB10" s="30">
        <v>0</v>
      </c>
      <c r="AC10" s="30">
        <v>2</v>
      </c>
      <c r="AD10" s="30">
        <v>2</v>
      </c>
      <c r="AE10" s="32">
        <v>3</v>
      </c>
      <c r="AF10" s="34"/>
      <c r="AG10" s="35"/>
      <c r="AH10" s="35"/>
      <c r="AI10" s="35"/>
      <c r="AJ10" s="36"/>
      <c r="AK10" s="29">
        <v>4</v>
      </c>
      <c r="AL10" s="30">
        <v>3</v>
      </c>
      <c r="AM10" s="30">
        <v>3</v>
      </c>
      <c r="AN10" s="30">
        <v>6</v>
      </c>
      <c r="AO10" s="32">
        <v>6</v>
      </c>
      <c r="AP10" s="33">
        <v>1</v>
      </c>
      <c r="AQ10" s="30">
        <v>0</v>
      </c>
      <c r="AR10" s="30">
        <v>0</v>
      </c>
      <c r="AS10" s="30">
        <v>6</v>
      </c>
      <c r="AT10" s="31">
        <v>4</v>
      </c>
      <c r="AU10" s="29">
        <v>5</v>
      </c>
      <c r="AV10" s="30">
        <v>3</v>
      </c>
      <c r="AW10" s="30">
        <v>3</v>
      </c>
      <c r="AX10" s="30">
        <v>3</v>
      </c>
      <c r="AY10" s="32">
        <v>4</v>
      </c>
      <c r="AZ10" s="33">
        <v>7</v>
      </c>
      <c r="BA10" s="30">
        <v>0</v>
      </c>
      <c r="BB10" s="30">
        <v>3</v>
      </c>
      <c r="BC10" s="30">
        <v>6</v>
      </c>
      <c r="BD10" s="31">
        <v>5</v>
      </c>
      <c r="BE10" s="29">
        <v>2</v>
      </c>
      <c r="BF10" s="30">
        <v>2</v>
      </c>
      <c r="BG10" s="30">
        <v>0</v>
      </c>
      <c r="BH10" s="30">
        <v>2</v>
      </c>
      <c r="BI10" s="32">
        <v>5</v>
      </c>
      <c r="BJ10" s="33">
        <v>0</v>
      </c>
      <c r="BK10" s="30">
        <v>0</v>
      </c>
      <c r="BL10" s="30">
        <v>0</v>
      </c>
      <c r="BM10" s="30">
        <v>13</v>
      </c>
      <c r="BN10" s="31">
        <v>2</v>
      </c>
      <c r="BO10" s="37"/>
      <c r="BP10" s="35"/>
      <c r="BQ10" s="35"/>
      <c r="BR10" s="35"/>
      <c r="BS10" s="38"/>
      <c r="BT10" s="33">
        <v>1</v>
      </c>
      <c r="BU10" s="30">
        <v>2</v>
      </c>
      <c r="BV10" s="30">
        <v>1</v>
      </c>
      <c r="BW10" s="30">
        <v>2</v>
      </c>
      <c r="BX10" s="32">
        <v>4</v>
      </c>
      <c r="BY10" s="33">
        <v>0</v>
      </c>
      <c r="BZ10" s="30">
        <v>2</v>
      </c>
      <c r="CA10" s="30">
        <v>1</v>
      </c>
      <c r="CB10" s="30">
        <v>5</v>
      </c>
      <c r="CC10" s="32">
        <v>3</v>
      </c>
      <c r="CD10" s="33">
        <v>1</v>
      </c>
      <c r="CE10" s="30">
        <v>1</v>
      </c>
      <c r="CF10" s="30">
        <v>1</v>
      </c>
      <c r="CG10" s="30">
        <v>2</v>
      </c>
      <c r="CH10" s="32">
        <v>3</v>
      </c>
    </row>
    <row r="11" spans="1:86">
      <c r="A11" s="28" t="s">
        <v>367</v>
      </c>
      <c r="B11" s="29"/>
      <c r="C11" s="30"/>
      <c r="D11" s="30"/>
      <c r="E11" s="30"/>
      <c r="F11" s="31"/>
      <c r="G11" s="29"/>
      <c r="H11" s="30"/>
      <c r="I11" s="30"/>
      <c r="J11" s="30"/>
      <c r="K11" s="32"/>
      <c r="L11" s="33"/>
      <c r="M11" s="30"/>
      <c r="N11" s="30"/>
      <c r="O11" s="30"/>
      <c r="P11" s="31"/>
      <c r="Q11" s="29"/>
      <c r="R11" s="30"/>
      <c r="S11" s="30"/>
      <c r="T11" s="30"/>
      <c r="U11" s="32"/>
      <c r="V11" s="33"/>
      <c r="W11" s="30"/>
      <c r="X11" s="30"/>
      <c r="Y11" s="30"/>
      <c r="Z11" s="31"/>
      <c r="AA11" s="29"/>
      <c r="AB11" s="30"/>
      <c r="AC11" s="30"/>
      <c r="AD11" s="30"/>
      <c r="AE11" s="32"/>
      <c r="AF11" s="34"/>
      <c r="AG11" s="35"/>
      <c r="AH11" s="35"/>
      <c r="AI11" s="35"/>
      <c r="AJ11" s="36"/>
      <c r="AK11" s="29"/>
      <c r="AL11" s="30"/>
      <c r="AM11" s="30"/>
      <c r="AN11" s="30"/>
      <c r="AO11" s="32"/>
      <c r="AP11" s="33"/>
      <c r="AQ11" s="30"/>
      <c r="AR11" s="30"/>
      <c r="AS11" s="30"/>
      <c r="AT11" s="31"/>
      <c r="AU11" s="29"/>
      <c r="AV11" s="30"/>
      <c r="AW11" s="30"/>
      <c r="AX11" s="30"/>
      <c r="AY11" s="32"/>
      <c r="AZ11" s="33"/>
      <c r="BA11" s="30"/>
      <c r="BB11" s="30"/>
      <c r="BC11" s="30"/>
      <c r="BD11" s="31"/>
      <c r="BE11" s="29"/>
      <c r="BF11" s="30"/>
      <c r="BG11" s="30"/>
      <c r="BH11" s="30"/>
      <c r="BI11" s="32"/>
      <c r="BJ11" s="33"/>
      <c r="BK11" s="30"/>
      <c r="BL11" s="30"/>
      <c r="BM11" s="30"/>
      <c r="BN11" s="31"/>
      <c r="BO11" s="37"/>
      <c r="BP11" s="35"/>
      <c r="BQ11" s="35"/>
      <c r="BR11" s="35"/>
      <c r="BS11" s="38"/>
      <c r="BT11" s="33"/>
      <c r="BU11" s="30"/>
      <c r="BV11" s="30"/>
      <c r="BW11" s="30"/>
      <c r="BX11" s="32"/>
      <c r="BY11" s="33"/>
      <c r="BZ11" s="30"/>
      <c r="CA11" s="30"/>
      <c r="CB11" s="30"/>
      <c r="CC11" s="32"/>
      <c r="CD11" s="33"/>
      <c r="CE11" s="30"/>
      <c r="CF11" s="30"/>
      <c r="CG11" s="30"/>
      <c r="CH11" s="32"/>
    </row>
    <row r="12" spans="1:86">
      <c r="A12" s="28" t="s">
        <v>368</v>
      </c>
      <c r="B12" s="29"/>
      <c r="C12" s="30"/>
      <c r="D12" s="30"/>
      <c r="E12" s="30"/>
      <c r="F12" s="31"/>
      <c r="G12" s="29"/>
      <c r="H12" s="30"/>
      <c r="I12" s="30"/>
      <c r="J12" s="30"/>
      <c r="K12" s="32"/>
      <c r="L12" s="33"/>
      <c r="M12" s="30"/>
      <c r="N12" s="30"/>
      <c r="O12" s="30"/>
      <c r="P12" s="31"/>
      <c r="Q12" s="29"/>
      <c r="R12" s="30"/>
      <c r="S12" s="30"/>
      <c r="T12" s="30"/>
      <c r="U12" s="32"/>
      <c r="V12" s="33"/>
      <c r="W12" s="30"/>
      <c r="X12" s="30"/>
      <c r="Y12" s="30"/>
      <c r="Z12" s="31"/>
      <c r="AA12" s="29"/>
      <c r="AB12" s="30"/>
      <c r="AC12" s="30"/>
      <c r="AD12" s="30"/>
      <c r="AE12" s="32"/>
      <c r="AF12" s="34"/>
      <c r="AG12" s="35"/>
      <c r="AH12" s="35"/>
      <c r="AI12" s="35"/>
      <c r="AJ12" s="36"/>
      <c r="AK12" s="29"/>
      <c r="AL12" s="30"/>
      <c r="AM12" s="30"/>
      <c r="AN12" s="30"/>
      <c r="AO12" s="32"/>
      <c r="AP12" s="33"/>
      <c r="AQ12" s="30"/>
      <c r="AR12" s="30"/>
      <c r="AS12" s="30"/>
      <c r="AT12" s="31"/>
      <c r="AU12" s="29"/>
      <c r="AV12" s="30"/>
      <c r="AW12" s="30"/>
      <c r="AX12" s="30"/>
      <c r="AY12" s="32"/>
      <c r="AZ12" s="33"/>
      <c r="BA12" s="30"/>
      <c r="BB12" s="30"/>
      <c r="BC12" s="30"/>
      <c r="BD12" s="31"/>
      <c r="BE12" s="29"/>
      <c r="BF12" s="30"/>
      <c r="BG12" s="30"/>
      <c r="BH12" s="30"/>
      <c r="BI12" s="32"/>
      <c r="BJ12" s="33"/>
      <c r="BK12" s="30"/>
      <c r="BL12" s="30"/>
      <c r="BM12" s="30"/>
      <c r="BN12" s="31"/>
      <c r="BO12" s="37"/>
      <c r="BP12" s="35"/>
      <c r="BQ12" s="35"/>
      <c r="BR12" s="35"/>
      <c r="BS12" s="38"/>
      <c r="BT12" s="33"/>
      <c r="BU12" s="30"/>
      <c r="BV12" s="30"/>
      <c r="BW12" s="30"/>
      <c r="BX12" s="32"/>
      <c r="BY12" s="33"/>
      <c r="BZ12" s="30"/>
      <c r="CA12" s="30"/>
      <c r="CB12" s="30"/>
      <c r="CC12" s="32"/>
      <c r="CD12" s="33"/>
      <c r="CE12" s="30"/>
      <c r="CF12" s="30"/>
      <c r="CG12" s="30"/>
      <c r="CH12" s="32"/>
    </row>
    <row r="13" spans="1:86">
      <c r="A13" s="28" t="s">
        <v>369</v>
      </c>
      <c r="B13" s="29"/>
      <c r="C13" s="30"/>
      <c r="D13" s="30"/>
      <c r="E13" s="30"/>
      <c r="F13" s="31"/>
      <c r="G13" s="29"/>
      <c r="H13" s="30"/>
      <c r="I13" s="30"/>
      <c r="J13" s="30"/>
      <c r="K13" s="32"/>
      <c r="L13" s="33"/>
      <c r="M13" s="30"/>
      <c r="N13" s="30"/>
      <c r="O13" s="30"/>
      <c r="P13" s="31"/>
      <c r="Q13" s="29"/>
      <c r="R13" s="30"/>
      <c r="S13" s="30"/>
      <c r="T13" s="30"/>
      <c r="U13" s="32"/>
      <c r="V13" s="33"/>
      <c r="W13" s="30"/>
      <c r="X13" s="30"/>
      <c r="Y13" s="30"/>
      <c r="Z13" s="31"/>
      <c r="AA13" s="29"/>
      <c r="AB13" s="30"/>
      <c r="AC13" s="30"/>
      <c r="AD13" s="30"/>
      <c r="AE13" s="32"/>
      <c r="AF13" s="34"/>
      <c r="AG13" s="35"/>
      <c r="AH13" s="35"/>
      <c r="AI13" s="35"/>
      <c r="AJ13" s="36"/>
      <c r="AK13" s="29"/>
      <c r="AL13" s="30"/>
      <c r="AM13" s="30"/>
      <c r="AN13" s="30"/>
      <c r="AO13" s="32"/>
      <c r="AP13" s="33"/>
      <c r="AQ13" s="30"/>
      <c r="AR13" s="30"/>
      <c r="AS13" s="30"/>
      <c r="AT13" s="31"/>
      <c r="AU13" s="29"/>
      <c r="AV13" s="30"/>
      <c r="AW13" s="30"/>
      <c r="AX13" s="30"/>
      <c r="AY13" s="32"/>
      <c r="AZ13" s="33"/>
      <c r="BA13" s="30"/>
      <c r="BB13" s="30"/>
      <c r="BC13" s="30"/>
      <c r="BD13" s="31"/>
      <c r="BE13" s="29"/>
      <c r="BF13" s="30"/>
      <c r="BG13" s="30"/>
      <c r="BH13" s="30"/>
      <c r="BI13" s="32"/>
      <c r="BJ13" s="33"/>
      <c r="BK13" s="30"/>
      <c r="BL13" s="30"/>
      <c r="BM13" s="30"/>
      <c r="BN13" s="31"/>
      <c r="BO13" s="37"/>
      <c r="BP13" s="35"/>
      <c r="BQ13" s="35"/>
      <c r="BR13" s="35"/>
      <c r="BS13" s="38"/>
      <c r="BT13" s="33"/>
      <c r="BU13" s="30"/>
      <c r="BV13" s="30"/>
      <c r="BW13" s="30"/>
      <c r="BX13" s="32"/>
      <c r="BY13" s="33"/>
      <c r="BZ13" s="30"/>
      <c r="CA13" s="30"/>
      <c r="CB13" s="30"/>
      <c r="CC13" s="32"/>
      <c r="CD13" s="33"/>
      <c r="CE13" s="30"/>
      <c r="CF13" s="30"/>
      <c r="CG13" s="30"/>
      <c r="CH13" s="32"/>
    </row>
    <row r="14" spans="1:86">
      <c r="A14" s="28" t="s">
        <v>370</v>
      </c>
      <c r="B14" s="29"/>
      <c r="C14" s="30"/>
      <c r="D14" s="30"/>
      <c r="E14" s="30"/>
      <c r="F14" s="31"/>
      <c r="G14" s="29"/>
      <c r="H14" s="30"/>
      <c r="I14" s="30"/>
      <c r="J14" s="30"/>
      <c r="K14" s="32"/>
      <c r="L14" s="33"/>
      <c r="M14" s="30"/>
      <c r="N14" s="30"/>
      <c r="O14" s="30"/>
      <c r="P14" s="31"/>
      <c r="Q14" s="29"/>
      <c r="R14" s="30"/>
      <c r="S14" s="30"/>
      <c r="T14" s="30"/>
      <c r="U14" s="32"/>
      <c r="V14" s="33"/>
      <c r="W14" s="30"/>
      <c r="X14" s="30"/>
      <c r="Y14" s="30"/>
      <c r="Z14" s="31"/>
      <c r="AA14" s="29"/>
      <c r="AB14" s="30"/>
      <c r="AC14" s="30"/>
      <c r="AD14" s="30"/>
      <c r="AE14" s="32"/>
      <c r="AF14" s="34"/>
      <c r="AG14" s="35"/>
      <c r="AH14" s="35"/>
      <c r="AI14" s="35"/>
      <c r="AJ14" s="36"/>
      <c r="AK14" s="29"/>
      <c r="AL14" s="30"/>
      <c r="AM14" s="30"/>
      <c r="AN14" s="30"/>
      <c r="AO14" s="32"/>
      <c r="AP14" s="33"/>
      <c r="AQ14" s="30"/>
      <c r="AR14" s="30"/>
      <c r="AS14" s="30"/>
      <c r="AT14" s="31"/>
      <c r="AU14" s="29"/>
      <c r="AV14" s="30"/>
      <c r="AW14" s="30"/>
      <c r="AX14" s="30"/>
      <c r="AY14" s="32"/>
      <c r="AZ14" s="33"/>
      <c r="BA14" s="30"/>
      <c r="BB14" s="30"/>
      <c r="BC14" s="30"/>
      <c r="BD14" s="31"/>
      <c r="BE14" s="29"/>
      <c r="BF14" s="30"/>
      <c r="BG14" s="30"/>
      <c r="BH14" s="30"/>
      <c r="BI14" s="32"/>
      <c r="BJ14" s="33"/>
      <c r="BK14" s="30"/>
      <c r="BL14" s="30"/>
      <c r="BM14" s="30"/>
      <c r="BN14" s="31"/>
      <c r="BO14" s="37"/>
      <c r="BP14" s="35"/>
      <c r="BQ14" s="35"/>
      <c r="BR14" s="35"/>
      <c r="BS14" s="38"/>
      <c r="BT14" s="33"/>
      <c r="BU14" s="30"/>
      <c r="BV14" s="30"/>
      <c r="BW14" s="30"/>
      <c r="BX14" s="32"/>
      <c r="BY14" s="33"/>
      <c r="BZ14" s="30"/>
      <c r="CA14" s="30"/>
      <c r="CB14" s="30"/>
      <c r="CC14" s="32"/>
      <c r="CD14" s="33"/>
      <c r="CE14" s="30"/>
      <c r="CF14" s="30"/>
      <c r="CG14" s="30"/>
      <c r="CH14" s="32"/>
    </row>
    <row r="16" spans="1:86">
      <c r="B16" t="s">
        <v>371</v>
      </c>
    </row>
    <row r="17" spans="3:3">
      <c r="C17" t="s">
        <v>372</v>
      </c>
    </row>
    <row r="18" spans="3:3">
      <c r="C18" t="s">
        <v>373</v>
      </c>
    </row>
    <row r="19" spans="3:3">
      <c r="C19" t="s">
        <v>374</v>
      </c>
    </row>
    <row r="20" spans="3:3">
      <c r="C20" t="s">
        <v>375</v>
      </c>
    </row>
  </sheetData>
  <mergeCells count="18">
    <mergeCell ref="V1:Z1"/>
    <mergeCell ref="A1:A2"/>
    <mergeCell ref="B1:F1"/>
    <mergeCell ref="G1:K1"/>
    <mergeCell ref="L1:P1"/>
    <mergeCell ref="Q1:U1"/>
    <mergeCell ref="CD1:CH1"/>
    <mergeCell ref="AA1:AE1"/>
    <mergeCell ref="AF1:AJ1"/>
    <mergeCell ref="AK1:AO1"/>
    <mergeCell ref="AP1:AT1"/>
    <mergeCell ref="AU1:AY1"/>
    <mergeCell ref="AZ1:BD1"/>
    <mergeCell ref="BE1:BI1"/>
    <mergeCell ref="BJ1:BN1"/>
    <mergeCell ref="BO1:BS1"/>
    <mergeCell ref="BT1:BX1"/>
    <mergeCell ref="BY1:CC1"/>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開発費用集計</vt:lpstr>
      <vt:lpstr>月別費用</vt:lpstr>
      <vt:lpstr>技術者</vt:lpstr>
      <vt:lpstr>案件数</vt:lpstr>
      <vt:lpstr>開発費用集計!Print_Area</vt:lpstr>
      <vt:lpstr>開発費用集計!Print_Titles</vt:lpstr>
    </vt:vector>
  </TitlesOfParts>
  <Company>VentureBank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江里</dc:creator>
  <cp:lastModifiedBy>Windows ユーザー</cp:lastModifiedBy>
  <cp:lastPrinted>2021-02-05T08:51:30Z</cp:lastPrinted>
  <dcterms:created xsi:type="dcterms:W3CDTF">2018-03-14T11:10:32Z</dcterms:created>
  <dcterms:modified xsi:type="dcterms:W3CDTF">2021-05-31T07:33:22Z</dcterms:modified>
</cp:coreProperties>
</file>